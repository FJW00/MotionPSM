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D:\Education\HSWT\Bachelorarbeit\ba_weigand\software\final\"/>
    </mc:Choice>
  </mc:AlternateContent>
  <xr:revisionPtr revIDLastSave="0" documentId="13_ncr:1_{D9C6BAA1-23EA-4445-BC7C-6C48CF7F2EAE}" xr6:coauthVersionLast="47" xr6:coauthVersionMax="47" xr10:uidLastSave="{00000000-0000-0000-0000-000000000000}"/>
  <bookViews>
    <workbookView xWindow="-120" yWindow="16080" windowWidth="23280" windowHeight="12480" xr2:uid="{C4E7ED5F-51C6-4E4E-B930-AC500383E013}"/>
  </bookViews>
  <sheets>
    <sheet name="Auswertung" sheetId="2" r:id="rId1"/>
    <sheet name="CSV_Import" sheetId="1" r:id="rId2"/>
    <sheet name="Kalkulationen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0" i="2"/>
  <c r="C19" i="2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4" i="3"/>
  <c r="E5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4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5" i="3"/>
  <c r="H6" i="3"/>
  <c r="H7" i="3"/>
  <c r="H8" i="3"/>
  <c r="H9" i="3"/>
  <c r="H10" i="3"/>
  <c r="H11" i="3"/>
  <c r="H12" i="3"/>
  <c r="H4" i="3"/>
  <c r="K16" i="2"/>
  <c r="K20" i="2" s="1"/>
  <c r="K15" i="2"/>
  <c r="K19" i="2" s="1"/>
  <c r="K14" i="2"/>
  <c r="K18" i="2" s="1"/>
  <c r="K11" i="2"/>
  <c r="K10" i="2"/>
  <c r="G11" i="2"/>
  <c r="G10" i="2"/>
  <c r="K7" i="2"/>
  <c r="K6" i="2"/>
  <c r="K5" i="2"/>
  <c r="G6" i="2"/>
  <c r="G5" i="2"/>
  <c r="F20" i="2"/>
  <c r="F19" i="2"/>
  <c r="F18" i="2"/>
  <c r="J18" i="2"/>
  <c r="J19" i="2"/>
  <c r="J20" i="2"/>
  <c r="K25" i="2" l="1"/>
  <c r="G25" i="2"/>
  <c r="G23" i="2"/>
  <c r="G24" i="2"/>
  <c r="K23" i="2"/>
  <c r="K24" i="2"/>
  <c r="G14" i="2"/>
  <c r="G18" i="2" s="1"/>
  <c r="G7" i="2"/>
  <c r="G16" i="2"/>
  <c r="G20" i="2" s="1"/>
  <c r="G15" i="2"/>
  <c r="G19" i="2" s="1"/>
</calcChain>
</file>

<file path=xl/sharedStrings.xml><?xml version="1.0" encoding="utf-8"?>
<sst xmlns="http://schemas.openxmlformats.org/spreadsheetml/2006/main" count="129" uniqueCount="89">
  <si>
    <t>R1_Heading</t>
  </si>
  <si>
    <t>R1_Rover_date</t>
  </si>
  <si>
    <t>R1_Rover_time</t>
  </si>
  <si>
    <t>R1_Rover_lon</t>
  </si>
  <si>
    <t>R1_Rover_lat</t>
  </si>
  <si>
    <t>Rover_1_accHeading</t>
  </si>
  <si>
    <t>Rover_1_N</t>
  </si>
  <si>
    <t>Rover_1_E</t>
  </si>
  <si>
    <t>Rover_1_D</t>
  </si>
  <si>
    <t>Rover_1_Quality</t>
  </si>
  <si>
    <t>R2_Heading</t>
  </si>
  <si>
    <t>R2_Rover_date</t>
  </si>
  <si>
    <t>R2_Rover_time</t>
  </si>
  <si>
    <t>R2_Rover_lon</t>
  </si>
  <si>
    <t>R2_Rover_lat</t>
  </si>
  <si>
    <t>Rover_2_accHeading</t>
  </si>
  <si>
    <t>Rover_2_N</t>
  </si>
  <si>
    <t>Rover_2_E</t>
  </si>
  <si>
    <t>Rover_2_D</t>
  </si>
  <si>
    <t>Rover_2_Quality</t>
  </si>
  <si>
    <t>Rover 1:</t>
  </si>
  <si>
    <t>Median</t>
  </si>
  <si>
    <t>Rover 2:</t>
  </si>
  <si>
    <t>Datum:</t>
  </si>
  <si>
    <t>Messdauer:</t>
  </si>
  <si>
    <t>RTK Qualität:</t>
  </si>
  <si>
    <t>Median:</t>
  </si>
  <si>
    <t>Eingabefelder:</t>
  </si>
  <si>
    <t>Maschinenbezeichnung:</t>
  </si>
  <si>
    <t>Gestängebreite:</t>
  </si>
  <si>
    <t>Anhängetyp:</t>
  </si>
  <si>
    <t>m</t>
  </si>
  <si>
    <t>Nennvolumen:</t>
  </si>
  <si>
    <t>l</t>
  </si>
  <si>
    <t>Hersteller:</t>
  </si>
  <si>
    <t>Maximale Positive Auslenkung:</t>
  </si>
  <si>
    <t>Maximale Höhe:</t>
  </si>
  <si>
    <t>Minimale Höhe:</t>
  </si>
  <si>
    <t>Minimale Negative Auslenkung</t>
  </si>
  <si>
    <t>Maximalwert Genauigkeit:</t>
  </si>
  <si>
    <t>Genauigkeit Heading:</t>
  </si>
  <si>
    <t>s</t>
  </si>
  <si>
    <t>cm</t>
  </si>
  <si>
    <t>deg</t>
  </si>
  <si>
    <t>2D GNSS fix</t>
  </si>
  <si>
    <t>3D GNSS fix</t>
  </si>
  <si>
    <t>1/2</t>
  </si>
  <si>
    <t>RTK fixed</t>
  </si>
  <si>
    <t>RTK float</t>
  </si>
  <si>
    <t>Dead reckoning fix</t>
  </si>
  <si>
    <t>Rover_1_Ang_velo</t>
  </si>
  <si>
    <t>Rover_2_Ang_velo</t>
  </si>
  <si>
    <t>Auswertungsprotokoll Schwingungsmessystem (F.Weigand)</t>
  </si>
  <si>
    <t>Angaben [deg] in 1e-5</t>
  </si>
  <si>
    <t>gezogen</t>
  </si>
  <si>
    <t>Offset Rover von Gestänge Außenkante:</t>
  </si>
  <si>
    <t>Horizontale Bewegung:</t>
  </si>
  <si>
    <t>Vertikale Bewegung:</t>
  </si>
  <si>
    <t>R1_absolute_Heading</t>
  </si>
  <si>
    <t>R1_delta_Heading</t>
  </si>
  <si>
    <t>Rover_1_alt</t>
  </si>
  <si>
    <t>Rover_1_height_varriation</t>
  </si>
  <si>
    <t>Rover_1_Speed</t>
  </si>
  <si>
    <t>R2_delta_Heading</t>
  </si>
  <si>
    <t>Rover_2_alt</t>
  </si>
  <si>
    <t>Rover_2_height_varriation</t>
  </si>
  <si>
    <t>Rover_2_Speed</t>
  </si>
  <si>
    <t>Base_lon</t>
  </si>
  <si>
    <t>Base_lat</t>
  </si>
  <si>
    <t>Base_NumSV</t>
  </si>
  <si>
    <t>Base_HDOP</t>
  </si>
  <si>
    <t>Base_alt</t>
  </si>
  <si>
    <t>Base_Time</t>
  </si>
  <si>
    <t>Base_Speed</t>
  </si>
  <si>
    <t>Rover_time</t>
  </si>
  <si>
    <t>Kalkulationen</t>
  </si>
  <si>
    <t>Horizontale Auslenkung</t>
  </si>
  <si>
    <t>R1_HA</t>
  </si>
  <si>
    <t>R2_HA</t>
  </si>
  <si>
    <t>Vertikale Bewegung</t>
  </si>
  <si>
    <t>R1_VA</t>
  </si>
  <si>
    <t>R2_VA</t>
  </si>
  <si>
    <t>Rau</t>
  </si>
  <si>
    <t>Spridotrain</t>
  </si>
  <si>
    <t>Base:</t>
  </si>
  <si>
    <t>Maximale Geschwindigeit:</t>
  </si>
  <si>
    <t>km/h</t>
  </si>
  <si>
    <t>Minimale Satelliten Sichtbar:</t>
  </si>
  <si>
    <t>maximaler HDOP wert: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</si>
</sst>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1" fontId="0" fillId="0" borderId="0" xfId="0" applyNumberFormat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/>
    </xf>
    <xf numFmtId="0" fontId="7" fillId="0" borderId="0" xfId="0" applyFont="1" applyProtection="1">
      <protection hidden="1"/>
    </xf>
    <xf numFmtId="0" fontId="8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Horizontale Auslenkung Gestänge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Kalkulationen!$D$3</c:f>
              <c:strCache>
                <c:ptCount val="1"/>
                <c:pt idx="0">
                  <c:v>R1_HA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Kalkulationen!$B$4:$B$240</c:f>
              <c:numCache>
                <c:formatCode>General</c:formatCode>
                <c:ptCount val="23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12.2</c:v>
                </c:pt>
                <c:pt idx="60">
                  <c:v>12.4</c:v>
                </c:pt>
                <c:pt idx="61">
                  <c:v>12.6</c:v>
                </c:pt>
                <c:pt idx="62">
                  <c:v>12.8</c:v>
                </c:pt>
                <c:pt idx="63">
                  <c:v>13</c:v>
                </c:pt>
                <c:pt idx="64">
                  <c:v>13.2</c:v>
                </c:pt>
                <c:pt idx="65">
                  <c:v>13.4</c:v>
                </c:pt>
                <c:pt idx="66">
                  <c:v>13.6</c:v>
                </c:pt>
                <c:pt idx="67">
                  <c:v>13.8</c:v>
                </c:pt>
                <c:pt idx="68">
                  <c:v>14</c:v>
                </c:pt>
                <c:pt idx="69">
                  <c:v>14.2</c:v>
                </c:pt>
                <c:pt idx="70">
                  <c:v>14.4</c:v>
                </c:pt>
                <c:pt idx="71">
                  <c:v>14.6</c:v>
                </c:pt>
                <c:pt idx="72">
                  <c:v>14.8</c:v>
                </c:pt>
                <c:pt idx="73">
                  <c:v>15</c:v>
                </c:pt>
                <c:pt idx="74">
                  <c:v>15.2</c:v>
                </c:pt>
                <c:pt idx="75">
                  <c:v>15.4</c:v>
                </c:pt>
                <c:pt idx="76">
                  <c:v>15.6</c:v>
                </c:pt>
                <c:pt idx="77">
                  <c:v>15.8</c:v>
                </c:pt>
                <c:pt idx="78">
                  <c:v>16</c:v>
                </c:pt>
                <c:pt idx="79">
                  <c:v>16.2</c:v>
                </c:pt>
                <c:pt idx="80">
                  <c:v>16.399999999999999</c:v>
                </c:pt>
                <c:pt idx="81">
                  <c:v>16.600000000000001</c:v>
                </c:pt>
                <c:pt idx="82">
                  <c:v>18</c:v>
                </c:pt>
                <c:pt idx="83">
                  <c:v>20</c:v>
                </c:pt>
                <c:pt idx="84">
                  <c:v>20.2</c:v>
                </c:pt>
                <c:pt idx="85">
                  <c:v>20.399999999999999</c:v>
                </c:pt>
                <c:pt idx="86">
                  <c:v>20.6</c:v>
                </c:pt>
                <c:pt idx="87">
                  <c:v>20.8</c:v>
                </c:pt>
                <c:pt idx="88">
                  <c:v>21</c:v>
                </c:pt>
                <c:pt idx="89">
                  <c:v>21.2</c:v>
                </c:pt>
                <c:pt idx="90">
                  <c:v>21.4</c:v>
                </c:pt>
                <c:pt idx="91">
                  <c:v>21.6</c:v>
                </c:pt>
                <c:pt idx="92">
                  <c:v>21.8</c:v>
                </c:pt>
                <c:pt idx="93">
                  <c:v>22</c:v>
                </c:pt>
                <c:pt idx="94">
                  <c:v>22.2</c:v>
                </c:pt>
                <c:pt idx="95">
                  <c:v>22.4</c:v>
                </c:pt>
                <c:pt idx="96">
                  <c:v>22.6</c:v>
                </c:pt>
                <c:pt idx="97">
                  <c:v>22.8</c:v>
                </c:pt>
                <c:pt idx="98">
                  <c:v>23</c:v>
                </c:pt>
                <c:pt idx="99">
                  <c:v>23.2</c:v>
                </c:pt>
                <c:pt idx="100">
                  <c:v>23.4</c:v>
                </c:pt>
                <c:pt idx="101">
                  <c:v>23.6</c:v>
                </c:pt>
                <c:pt idx="102">
                  <c:v>23.8</c:v>
                </c:pt>
                <c:pt idx="103">
                  <c:v>24</c:v>
                </c:pt>
                <c:pt idx="104">
                  <c:v>24.2</c:v>
                </c:pt>
                <c:pt idx="105">
                  <c:v>24.4</c:v>
                </c:pt>
                <c:pt idx="106">
                  <c:v>24.6</c:v>
                </c:pt>
                <c:pt idx="107">
                  <c:v>24.8</c:v>
                </c:pt>
                <c:pt idx="108">
                  <c:v>25</c:v>
                </c:pt>
                <c:pt idx="109">
                  <c:v>25.2</c:v>
                </c:pt>
                <c:pt idx="110">
                  <c:v>25.4</c:v>
                </c:pt>
                <c:pt idx="111">
                  <c:v>25.6</c:v>
                </c:pt>
                <c:pt idx="112">
                  <c:v>25.8</c:v>
                </c:pt>
                <c:pt idx="113">
                  <c:v>26</c:v>
                </c:pt>
                <c:pt idx="114">
                  <c:v>26.2</c:v>
                </c:pt>
                <c:pt idx="115">
                  <c:v>26.4</c:v>
                </c:pt>
                <c:pt idx="116">
                  <c:v>26.6</c:v>
                </c:pt>
                <c:pt idx="117">
                  <c:v>26.8</c:v>
                </c:pt>
                <c:pt idx="118">
                  <c:v>27</c:v>
                </c:pt>
                <c:pt idx="119">
                  <c:v>27.2</c:v>
                </c:pt>
                <c:pt idx="120">
                  <c:v>27.4</c:v>
                </c:pt>
                <c:pt idx="121">
                  <c:v>27.6</c:v>
                </c:pt>
                <c:pt idx="122">
                  <c:v>27.8</c:v>
                </c:pt>
                <c:pt idx="123">
                  <c:v>28</c:v>
                </c:pt>
                <c:pt idx="124">
                  <c:v>28.2</c:v>
                </c:pt>
                <c:pt idx="125">
                  <c:v>28.4</c:v>
                </c:pt>
                <c:pt idx="126">
                  <c:v>28.6</c:v>
                </c:pt>
                <c:pt idx="127">
                  <c:v>28.8</c:v>
                </c:pt>
                <c:pt idx="128">
                  <c:v>29</c:v>
                </c:pt>
                <c:pt idx="129">
                  <c:v>29.2</c:v>
                </c:pt>
                <c:pt idx="130">
                  <c:v>29.4</c:v>
                </c:pt>
                <c:pt idx="131">
                  <c:v>29.6</c:v>
                </c:pt>
                <c:pt idx="132">
                  <c:v>29.8</c:v>
                </c:pt>
                <c:pt idx="133">
                  <c:v>30</c:v>
                </c:pt>
                <c:pt idx="134">
                  <c:v>30.2</c:v>
                </c:pt>
                <c:pt idx="135">
                  <c:v>30.4</c:v>
                </c:pt>
                <c:pt idx="136">
                  <c:v>30.6</c:v>
                </c:pt>
                <c:pt idx="137">
                  <c:v>30.8</c:v>
                </c:pt>
                <c:pt idx="138">
                  <c:v>31</c:v>
                </c:pt>
                <c:pt idx="139">
                  <c:v>31.2</c:v>
                </c:pt>
                <c:pt idx="140">
                  <c:v>31.4</c:v>
                </c:pt>
                <c:pt idx="141">
                  <c:v>31.6</c:v>
                </c:pt>
                <c:pt idx="142">
                  <c:v>31.8</c:v>
                </c:pt>
                <c:pt idx="143">
                  <c:v>32</c:v>
                </c:pt>
                <c:pt idx="144">
                  <c:v>32.200000000000003</c:v>
                </c:pt>
                <c:pt idx="145">
                  <c:v>32.4</c:v>
                </c:pt>
                <c:pt idx="146">
                  <c:v>32.6</c:v>
                </c:pt>
                <c:pt idx="147">
                  <c:v>32.799999999999997</c:v>
                </c:pt>
                <c:pt idx="148">
                  <c:v>33</c:v>
                </c:pt>
                <c:pt idx="149">
                  <c:v>33.200000000000003</c:v>
                </c:pt>
                <c:pt idx="150">
                  <c:v>33.4</c:v>
                </c:pt>
                <c:pt idx="151">
                  <c:v>33.6</c:v>
                </c:pt>
                <c:pt idx="152">
                  <c:v>33.799999999999997</c:v>
                </c:pt>
                <c:pt idx="153">
                  <c:v>34</c:v>
                </c:pt>
                <c:pt idx="154">
                  <c:v>34.200000000000003</c:v>
                </c:pt>
                <c:pt idx="155">
                  <c:v>34.4</c:v>
                </c:pt>
                <c:pt idx="156">
                  <c:v>34.6</c:v>
                </c:pt>
                <c:pt idx="157">
                  <c:v>34.799999999999997</c:v>
                </c:pt>
                <c:pt idx="158">
                  <c:v>35</c:v>
                </c:pt>
                <c:pt idx="159">
                  <c:v>35.200000000000003</c:v>
                </c:pt>
                <c:pt idx="160">
                  <c:v>35.4</c:v>
                </c:pt>
                <c:pt idx="161">
                  <c:v>35.6</c:v>
                </c:pt>
                <c:pt idx="162">
                  <c:v>35.799999999999997</c:v>
                </c:pt>
                <c:pt idx="163">
                  <c:v>36</c:v>
                </c:pt>
                <c:pt idx="164">
                  <c:v>36.200000000000003</c:v>
                </c:pt>
                <c:pt idx="165">
                  <c:v>36.4</c:v>
                </c:pt>
                <c:pt idx="166">
                  <c:v>36.6</c:v>
                </c:pt>
                <c:pt idx="167">
                  <c:v>36.799999999999997</c:v>
                </c:pt>
                <c:pt idx="168">
                  <c:v>37</c:v>
                </c:pt>
                <c:pt idx="169">
                  <c:v>37.200000000000003</c:v>
                </c:pt>
                <c:pt idx="170">
                  <c:v>37.4</c:v>
                </c:pt>
                <c:pt idx="171">
                  <c:v>37.6</c:v>
                </c:pt>
                <c:pt idx="172">
                  <c:v>37.799999999999997</c:v>
                </c:pt>
                <c:pt idx="173">
                  <c:v>38</c:v>
                </c:pt>
                <c:pt idx="174">
                  <c:v>38.200000000000003</c:v>
                </c:pt>
                <c:pt idx="175">
                  <c:v>38.4</c:v>
                </c:pt>
                <c:pt idx="176">
                  <c:v>38.6</c:v>
                </c:pt>
                <c:pt idx="177">
                  <c:v>38.799999999999997</c:v>
                </c:pt>
                <c:pt idx="178">
                  <c:v>39</c:v>
                </c:pt>
                <c:pt idx="179">
                  <c:v>39.200000000000003</c:v>
                </c:pt>
                <c:pt idx="180">
                  <c:v>39.4</c:v>
                </c:pt>
                <c:pt idx="181">
                  <c:v>39.6</c:v>
                </c:pt>
                <c:pt idx="182">
                  <c:v>39.799999999999997</c:v>
                </c:pt>
                <c:pt idx="183">
                  <c:v>40</c:v>
                </c:pt>
                <c:pt idx="184">
                  <c:v>40.200000000000003</c:v>
                </c:pt>
                <c:pt idx="185">
                  <c:v>40.4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41</c:v>
                </c:pt>
                <c:pt idx="189">
                  <c:v>41.2</c:v>
                </c:pt>
                <c:pt idx="190">
                  <c:v>41.4</c:v>
                </c:pt>
                <c:pt idx="191">
                  <c:v>41.6</c:v>
                </c:pt>
                <c:pt idx="192">
                  <c:v>41.8</c:v>
                </c:pt>
                <c:pt idx="193">
                  <c:v>42</c:v>
                </c:pt>
                <c:pt idx="194">
                  <c:v>42.2</c:v>
                </c:pt>
                <c:pt idx="195">
                  <c:v>42.4</c:v>
                </c:pt>
                <c:pt idx="196">
                  <c:v>42.6</c:v>
                </c:pt>
                <c:pt idx="197">
                  <c:v>42.8</c:v>
                </c:pt>
                <c:pt idx="198">
                  <c:v>43</c:v>
                </c:pt>
                <c:pt idx="199">
                  <c:v>43.2</c:v>
                </c:pt>
                <c:pt idx="200">
                  <c:v>43.4</c:v>
                </c:pt>
                <c:pt idx="201">
                  <c:v>43.6</c:v>
                </c:pt>
                <c:pt idx="202">
                  <c:v>43.8</c:v>
                </c:pt>
                <c:pt idx="203">
                  <c:v>45.3</c:v>
                </c:pt>
                <c:pt idx="204">
                  <c:v>45.5</c:v>
                </c:pt>
                <c:pt idx="205">
                  <c:v>45.7</c:v>
                </c:pt>
                <c:pt idx="206">
                  <c:v>45.9</c:v>
                </c:pt>
                <c:pt idx="207">
                  <c:v>46.1</c:v>
                </c:pt>
                <c:pt idx="208">
                  <c:v>46.3</c:v>
                </c:pt>
                <c:pt idx="209">
                  <c:v>46.5</c:v>
                </c:pt>
                <c:pt idx="210">
                  <c:v>46.7</c:v>
                </c:pt>
                <c:pt idx="211">
                  <c:v>46.9</c:v>
                </c:pt>
                <c:pt idx="212">
                  <c:v>47.1</c:v>
                </c:pt>
                <c:pt idx="213">
                  <c:v>47.3</c:v>
                </c:pt>
                <c:pt idx="214">
                  <c:v>47.5</c:v>
                </c:pt>
                <c:pt idx="215">
                  <c:v>47.7</c:v>
                </c:pt>
                <c:pt idx="216">
                  <c:v>47.9</c:v>
                </c:pt>
                <c:pt idx="217">
                  <c:v>48.1</c:v>
                </c:pt>
                <c:pt idx="218">
                  <c:v>48.3</c:v>
                </c:pt>
                <c:pt idx="219">
                  <c:v>48.5</c:v>
                </c:pt>
                <c:pt idx="220">
                  <c:v>48.7</c:v>
                </c:pt>
                <c:pt idx="221">
                  <c:v>48.9</c:v>
                </c:pt>
                <c:pt idx="222">
                  <c:v>49.1</c:v>
                </c:pt>
                <c:pt idx="223">
                  <c:v>49.3</c:v>
                </c:pt>
                <c:pt idx="224">
                  <c:v>49.5</c:v>
                </c:pt>
                <c:pt idx="225">
                  <c:v>49.7</c:v>
                </c:pt>
                <c:pt idx="226">
                  <c:v>49.9</c:v>
                </c:pt>
                <c:pt idx="227">
                  <c:v>50.1</c:v>
                </c:pt>
                <c:pt idx="228">
                  <c:v>50.3</c:v>
                </c:pt>
                <c:pt idx="229">
                  <c:v>50.5</c:v>
                </c:pt>
                <c:pt idx="230">
                  <c:v>50.7</c:v>
                </c:pt>
                <c:pt idx="231">
                  <c:v>50.9</c:v>
                </c:pt>
                <c:pt idx="232">
                  <c:v>51.1</c:v>
                </c:pt>
                <c:pt idx="233">
                  <c:v>51.3</c:v>
                </c:pt>
                <c:pt idx="234">
                  <c:v>51.5</c:v>
                </c:pt>
                <c:pt idx="235">
                  <c:v>51.7</c:v>
                </c:pt>
                <c:pt idx="236">
                  <c:v>51.9</c:v>
                </c:pt>
              </c:numCache>
            </c:numRef>
          </c:cat>
          <c:val>
            <c:numRef>
              <c:f>Kalkulationen!$D$4:$D$240</c:f>
              <c:numCache>
                <c:formatCode>General</c:formatCode>
                <c:ptCount val="237"/>
                <c:pt idx="0">
                  <c:v>0</c:v>
                </c:pt>
                <c:pt idx="1">
                  <c:v>0.151</c:v>
                </c:pt>
                <c:pt idx="2">
                  <c:v>0.25900000000000001</c:v>
                </c:pt>
                <c:pt idx="3">
                  <c:v>-8.9999999999999993E-3</c:v>
                </c:pt>
                <c:pt idx="4">
                  <c:v>-7.5999999999999998E-2</c:v>
                </c:pt>
                <c:pt idx="5">
                  <c:v>-0.158</c:v>
                </c:pt>
                <c:pt idx="6">
                  <c:v>-0.312</c:v>
                </c:pt>
                <c:pt idx="7">
                  <c:v>-0.22</c:v>
                </c:pt>
                <c:pt idx="8">
                  <c:v>0.14799999999999999</c:v>
                </c:pt>
                <c:pt idx="9">
                  <c:v>0.11799999999999999</c:v>
                </c:pt>
                <c:pt idx="10">
                  <c:v>3.7999999999999999E-2</c:v>
                </c:pt>
                <c:pt idx="11">
                  <c:v>3.2000000000000001E-2</c:v>
                </c:pt>
                <c:pt idx="12">
                  <c:v>8.0000000000000002E-3</c:v>
                </c:pt>
                <c:pt idx="13">
                  <c:v>7.4999999999999997E-2</c:v>
                </c:pt>
                <c:pt idx="14">
                  <c:v>-8.1000000000000003E-2</c:v>
                </c:pt>
                <c:pt idx="15">
                  <c:v>-0.16700000000000001</c:v>
                </c:pt>
                <c:pt idx="16">
                  <c:v>-0.19800000000000001</c:v>
                </c:pt>
                <c:pt idx="17">
                  <c:v>-0.46800000000000003</c:v>
                </c:pt>
                <c:pt idx="18">
                  <c:v>-0.19700000000000001</c:v>
                </c:pt>
                <c:pt idx="19">
                  <c:v>-3.5999999999999997E-2</c:v>
                </c:pt>
                <c:pt idx="20">
                  <c:v>-0.14599999999999999</c:v>
                </c:pt>
                <c:pt idx="21">
                  <c:v>-0.224</c:v>
                </c:pt>
                <c:pt idx="22">
                  <c:v>-0.18099999999999999</c:v>
                </c:pt>
                <c:pt idx="23">
                  <c:v>-0.24099999999999999</c:v>
                </c:pt>
                <c:pt idx="24">
                  <c:v>-0.39200000000000002</c:v>
                </c:pt>
                <c:pt idx="25">
                  <c:v>-0.245</c:v>
                </c:pt>
                <c:pt idx="26">
                  <c:v>-9.4E-2</c:v>
                </c:pt>
                <c:pt idx="27">
                  <c:v>-0.20300000000000001</c:v>
                </c:pt>
                <c:pt idx="28">
                  <c:v>-0.28899999999999998</c:v>
                </c:pt>
                <c:pt idx="29">
                  <c:v>-0.307</c:v>
                </c:pt>
                <c:pt idx="30">
                  <c:v>-0.17</c:v>
                </c:pt>
                <c:pt idx="31">
                  <c:v>-0.16500000000000001</c:v>
                </c:pt>
                <c:pt idx="32">
                  <c:v>-0.317</c:v>
                </c:pt>
                <c:pt idx="33">
                  <c:v>-0.39700000000000002</c:v>
                </c:pt>
                <c:pt idx="34">
                  <c:v>-0.17100000000000001</c:v>
                </c:pt>
                <c:pt idx="35">
                  <c:v>-0.36599999999999999</c:v>
                </c:pt>
                <c:pt idx="36">
                  <c:v>-0.41399999999999998</c:v>
                </c:pt>
                <c:pt idx="37">
                  <c:v>-0.41099999999999998</c:v>
                </c:pt>
                <c:pt idx="38">
                  <c:v>-0.45100000000000001</c:v>
                </c:pt>
                <c:pt idx="39">
                  <c:v>-0.315</c:v>
                </c:pt>
                <c:pt idx="40">
                  <c:v>-0.39400000000000002</c:v>
                </c:pt>
                <c:pt idx="41">
                  <c:v>-0.52</c:v>
                </c:pt>
                <c:pt idx="42">
                  <c:v>-0.248</c:v>
                </c:pt>
                <c:pt idx="43">
                  <c:v>0.45600000000000002</c:v>
                </c:pt>
                <c:pt idx="44">
                  <c:v>1.6719999999999999</c:v>
                </c:pt>
                <c:pt idx="45">
                  <c:v>1.0249999999999999</c:v>
                </c:pt>
                <c:pt idx="46">
                  <c:v>9.4</c:v>
                </c:pt>
                <c:pt idx="47">
                  <c:v>17.382999999999999</c:v>
                </c:pt>
                <c:pt idx="48">
                  <c:v>22.594999999999999</c:v>
                </c:pt>
                <c:pt idx="49">
                  <c:v>18.885999999999999</c:v>
                </c:pt>
                <c:pt idx="50">
                  <c:v>4.7530000000000001</c:v>
                </c:pt>
                <c:pt idx="51">
                  <c:v>-6.6760000000000002</c:v>
                </c:pt>
                <c:pt idx="52">
                  <c:v>-5.726</c:v>
                </c:pt>
                <c:pt idx="53">
                  <c:v>3.1179999999999999</c:v>
                </c:pt>
                <c:pt idx="54">
                  <c:v>15.842000000000001</c:v>
                </c:pt>
                <c:pt idx="55">
                  <c:v>18.587</c:v>
                </c:pt>
                <c:pt idx="56">
                  <c:v>12.663</c:v>
                </c:pt>
                <c:pt idx="57">
                  <c:v>7.6840000000000002</c:v>
                </c:pt>
                <c:pt idx="58">
                  <c:v>11.337999999999999</c:v>
                </c:pt>
                <c:pt idx="59">
                  <c:v>14.754</c:v>
                </c:pt>
                <c:pt idx="60">
                  <c:v>9.1219999999999999</c:v>
                </c:pt>
                <c:pt idx="61">
                  <c:v>1.3520000000000001</c:v>
                </c:pt>
                <c:pt idx="62">
                  <c:v>0.90700000000000003</c:v>
                </c:pt>
                <c:pt idx="63">
                  <c:v>-0.53200000000000003</c:v>
                </c:pt>
                <c:pt idx="64">
                  <c:v>7.266</c:v>
                </c:pt>
                <c:pt idx="65">
                  <c:v>11.656000000000001</c:v>
                </c:pt>
                <c:pt idx="66">
                  <c:v>6.19</c:v>
                </c:pt>
                <c:pt idx="67">
                  <c:v>-2.5059999999999998</c:v>
                </c:pt>
                <c:pt idx="68">
                  <c:v>-3.7280000000000002</c:v>
                </c:pt>
                <c:pt idx="69">
                  <c:v>0.73499999999999999</c:v>
                </c:pt>
                <c:pt idx="70">
                  <c:v>6.76</c:v>
                </c:pt>
                <c:pt idx="71">
                  <c:v>10.586</c:v>
                </c:pt>
                <c:pt idx="72">
                  <c:v>7.7350000000000003</c:v>
                </c:pt>
                <c:pt idx="73">
                  <c:v>-2.17</c:v>
                </c:pt>
                <c:pt idx="74">
                  <c:v>-4.4249999999999998</c:v>
                </c:pt>
                <c:pt idx="75">
                  <c:v>-2.1459999999999999</c:v>
                </c:pt>
                <c:pt idx="76">
                  <c:v>-1.7749999999999999</c:v>
                </c:pt>
                <c:pt idx="77">
                  <c:v>-6.4589999999999996</c:v>
                </c:pt>
                <c:pt idx="78">
                  <c:v>-12.035</c:v>
                </c:pt>
                <c:pt idx="79">
                  <c:v>-16.696000000000002</c:v>
                </c:pt>
                <c:pt idx="80">
                  <c:v>-21.972000000000001</c:v>
                </c:pt>
                <c:pt idx="81">
                  <c:v>-12.33</c:v>
                </c:pt>
                <c:pt idx="82">
                  <c:v>9.4090000000000007</c:v>
                </c:pt>
                <c:pt idx="83">
                  <c:v>-13.448</c:v>
                </c:pt>
                <c:pt idx="84">
                  <c:v>-12.87</c:v>
                </c:pt>
                <c:pt idx="85">
                  <c:v>-9.4369999999999994</c:v>
                </c:pt>
                <c:pt idx="86">
                  <c:v>-5.6829999999999998</c:v>
                </c:pt>
                <c:pt idx="87">
                  <c:v>-3.8860000000000001</c:v>
                </c:pt>
                <c:pt idx="88">
                  <c:v>2.3239999999999998</c:v>
                </c:pt>
                <c:pt idx="89">
                  <c:v>7.4480000000000004</c:v>
                </c:pt>
                <c:pt idx="90">
                  <c:v>11.914999999999999</c:v>
                </c:pt>
                <c:pt idx="91">
                  <c:v>16.652000000000001</c:v>
                </c:pt>
                <c:pt idx="92">
                  <c:v>16.29</c:v>
                </c:pt>
                <c:pt idx="93">
                  <c:v>14.484</c:v>
                </c:pt>
                <c:pt idx="94">
                  <c:v>11.202</c:v>
                </c:pt>
                <c:pt idx="95">
                  <c:v>9.1999999999999993</c:v>
                </c:pt>
                <c:pt idx="96">
                  <c:v>5.7930000000000001</c:v>
                </c:pt>
                <c:pt idx="97">
                  <c:v>1.5920000000000001</c:v>
                </c:pt>
                <c:pt idx="98">
                  <c:v>-0.94899999999999995</c:v>
                </c:pt>
                <c:pt idx="99">
                  <c:v>-3.899</c:v>
                </c:pt>
                <c:pt idx="100">
                  <c:v>-5.3680000000000003</c:v>
                </c:pt>
                <c:pt idx="101">
                  <c:v>-5.19</c:v>
                </c:pt>
                <c:pt idx="102">
                  <c:v>-3.169</c:v>
                </c:pt>
                <c:pt idx="103">
                  <c:v>-0.749</c:v>
                </c:pt>
                <c:pt idx="104">
                  <c:v>3.2069999999999999</c:v>
                </c:pt>
                <c:pt idx="105">
                  <c:v>5.851</c:v>
                </c:pt>
                <c:pt idx="106">
                  <c:v>8.6720000000000006</c:v>
                </c:pt>
                <c:pt idx="107">
                  <c:v>11.217000000000001</c:v>
                </c:pt>
                <c:pt idx="108">
                  <c:v>13.997999999999999</c:v>
                </c:pt>
                <c:pt idx="109">
                  <c:v>15.689</c:v>
                </c:pt>
                <c:pt idx="110">
                  <c:v>14.169</c:v>
                </c:pt>
                <c:pt idx="111">
                  <c:v>11.413</c:v>
                </c:pt>
                <c:pt idx="112">
                  <c:v>8.5570000000000004</c:v>
                </c:pt>
                <c:pt idx="113">
                  <c:v>6.9539999999999997</c:v>
                </c:pt>
                <c:pt idx="114">
                  <c:v>4.9610000000000003</c:v>
                </c:pt>
                <c:pt idx="115">
                  <c:v>3.452</c:v>
                </c:pt>
                <c:pt idx="116">
                  <c:v>1.421</c:v>
                </c:pt>
                <c:pt idx="117">
                  <c:v>-0.46899999999999997</c:v>
                </c:pt>
                <c:pt idx="118">
                  <c:v>-1.74</c:v>
                </c:pt>
                <c:pt idx="119">
                  <c:v>-2.4119999999999999</c:v>
                </c:pt>
                <c:pt idx="120">
                  <c:v>-2.7839999999999998</c:v>
                </c:pt>
                <c:pt idx="121">
                  <c:v>-2.6</c:v>
                </c:pt>
                <c:pt idx="122">
                  <c:v>-2.129</c:v>
                </c:pt>
                <c:pt idx="123">
                  <c:v>-1.4330000000000001</c:v>
                </c:pt>
                <c:pt idx="124">
                  <c:v>-2.3E-2</c:v>
                </c:pt>
                <c:pt idx="125">
                  <c:v>0.70499999999999996</c:v>
                </c:pt>
                <c:pt idx="126">
                  <c:v>2.0329999999999999</c:v>
                </c:pt>
                <c:pt idx="127">
                  <c:v>3.3159999999999998</c:v>
                </c:pt>
                <c:pt idx="128">
                  <c:v>4.4939999999999998</c:v>
                </c:pt>
                <c:pt idx="129">
                  <c:v>5.4290000000000003</c:v>
                </c:pt>
                <c:pt idx="130">
                  <c:v>6.8289999999999997</c:v>
                </c:pt>
                <c:pt idx="131">
                  <c:v>8.0820000000000007</c:v>
                </c:pt>
                <c:pt idx="132">
                  <c:v>9.1080000000000005</c:v>
                </c:pt>
                <c:pt idx="133">
                  <c:v>10.382999999999999</c:v>
                </c:pt>
                <c:pt idx="134">
                  <c:v>11.353999999999999</c:v>
                </c:pt>
                <c:pt idx="135">
                  <c:v>12.132999999999999</c:v>
                </c:pt>
                <c:pt idx="136">
                  <c:v>12.509</c:v>
                </c:pt>
                <c:pt idx="137">
                  <c:v>12.11</c:v>
                </c:pt>
                <c:pt idx="138">
                  <c:v>11.375</c:v>
                </c:pt>
                <c:pt idx="139">
                  <c:v>10.443</c:v>
                </c:pt>
                <c:pt idx="140">
                  <c:v>9.7390000000000008</c:v>
                </c:pt>
                <c:pt idx="141">
                  <c:v>9.0259999999999998</c:v>
                </c:pt>
                <c:pt idx="142">
                  <c:v>7.8780000000000001</c:v>
                </c:pt>
                <c:pt idx="143">
                  <c:v>7.4930000000000003</c:v>
                </c:pt>
                <c:pt idx="144">
                  <c:v>6.72</c:v>
                </c:pt>
                <c:pt idx="145">
                  <c:v>6.2649999999999997</c:v>
                </c:pt>
                <c:pt idx="146">
                  <c:v>6.0060000000000002</c:v>
                </c:pt>
                <c:pt idx="147">
                  <c:v>6.0410000000000004</c:v>
                </c:pt>
                <c:pt idx="148">
                  <c:v>5.6440000000000001</c:v>
                </c:pt>
                <c:pt idx="149">
                  <c:v>5.7889999999999997</c:v>
                </c:pt>
                <c:pt idx="150">
                  <c:v>6.13</c:v>
                </c:pt>
                <c:pt idx="151">
                  <c:v>5.7720000000000002</c:v>
                </c:pt>
                <c:pt idx="152">
                  <c:v>6.4560000000000004</c:v>
                </c:pt>
                <c:pt idx="153">
                  <c:v>6.8250000000000002</c:v>
                </c:pt>
                <c:pt idx="154">
                  <c:v>7.282</c:v>
                </c:pt>
                <c:pt idx="155">
                  <c:v>7.7960000000000003</c:v>
                </c:pt>
                <c:pt idx="156">
                  <c:v>8.1189999999999998</c:v>
                </c:pt>
                <c:pt idx="157">
                  <c:v>8.7170000000000005</c:v>
                </c:pt>
                <c:pt idx="158">
                  <c:v>9.1370000000000005</c:v>
                </c:pt>
                <c:pt idx="159">
                  <c:v>9.6300000000000008</c:v>
                </c:pt>
                <c:pt idx="160">
                  <c:v>10.214</c:v>
                </c:pt>
                <c:pt idx="161">
                  <c:v>10.208</c:v>
                </c:pt>
                <c:pt idx="162">
                  <c:v>10.7</c:v>
                </c:pt>
                <c:pt idx="163">
                  <c:v>10.771000000000001</c:v>
                </c:pt>
                <c:pt idx="164">
                  <c:v>10.680999999999999</c:v>
                </c:pt>
                <c:pt idx="165">
                  <c:v>10.615</c:v>
                </c:pt>
                <c:pt idx="166">
                  <c:v>10.178000000000001</c:v>
                </c:pt>
                <c:pt idx="167">
                  <c:v>9.8049999999999997</c:v>
                </c:pt>
                <c:pt idx="168">
                  <c:v>9.3889999999999993</c:v>
                </c:pt>
                <c:pt idx="169">
                  <c:v>9.1059999999999999</c:v>
                </c:pt>
                <c:pt idx="170">
                  <c:v>8.5220000000000002</c:v>
                </c:pt>
                <c:pt idx="171">
                  <c:v>8.4779999999999998</c:v>
                </c:pt>
                <c:pt idx="172">
                  <c:v>8.3870000000000005</c:v>
                </c:pt>
                <c:pt idx="173">
                  <c:v>8.3520000000000003</c:v>
                </c:pt>
                <c:pt idx="174">
                  <c:v>8.3010000000000002</c:v>
                </c:pt>
                <c:pt idx="175">
                  <c:v>8.0619999999999994</c:v>
                </c:pt>
                <c:pt idx="176">
                  <c:v>8.1059999999999999</c:v>
                </c:pt>
                <c:pt idx="177">
                  <c:v>8.3699999999999992</c:v>
                </c:pt>
                <c:pt idx="178">
                  <c:v>8.6010000000000009</c:v>
                </c:pt>
                <c:pt idx="179">
                  <c:v>9.0079999999999991</c:v>
                </c:pt>
                <c:pt idx="180">
                  <c:v>9.0239999999999991</c:v>
                </c:pt>
                <c:pt idx="181">
                  <c:v>9.2159999999999993</c:v>
                </c:pt>
                <c:pt idx="182">
                  <c:v>9.3460000000000001</c:v>
                </c:pt>
                <c:pt idx="183">
                  <c:v>9.6359999999999992</c:v>
                </c:pt>
                <c:pt idx="184">
                  <c:v>9.8140000000000001</c:v>
                </c:pt>
                <c:pt idx="185">
                  <c:v>9.7799999999999994</c:v>
                </c:pt>
                <c:pt idx="186">
                  <c:v>10.048999999999999</c:v>
                </c:pt>
                <c:pt idx="187">
                  <c:v>10.159000000000001</c:v>
                </c:pt>
                <c:pt idx="188">
                  <c:v>10.065</c:v>
                </c:pt>
                <c:pt idx="189">
                  <c:v>9.86</c:v>
                </c:pt>
                <c:pt idx="190">
                  <c:v>9.6110000000000007</c:v>
                </c:pt>
                <c:pt idx="191">
                  <c:v>9.4459999999999997</c:v>
                </c:pt>
                <c:pt idx="192">
                  <c:v>9.2349999999999994</c:v>
                </c:pt>
                <c:pt idx="193">
                  <c:v>9.0449999999999999</c:v>
                </c:pt>
                <c:pt idx="194">
                  <c:v>9.2110000000000003</c:v>
                </c:pt>
                <c:pt idx="195">
                  <c:v>8.8580000000000005</c:v>
                </c:pt>
                <c:pt idx="196">
                  <c:v>8.7080000000000002</c:v>
                </c:pt>
                <c:pt idx="197">
                  <c:v>8.7949999999999999</c:v>
                </c:pt>
                <c:pt idx="198">
                  <c:v>8.7889999999999997</c:v>
                </c:pt>
                <c:pt idx="199">
                  <c:v>8.8209999999999997</c:v>
                </c:pt>
                <c:pt idx="200">
                  <c:v>9.0879999999999992</c:v>
                </c:pt>
                <c:pt idx="201">
                  <c:v>9.0960000000000001</c:v>
                </c:pt>
                <c:pt idx="202">
                  <c:v>9.1280000000000001</c:v>
                </c:pt>
                <c:pt idx="203">
                  <c:v>9.4</c:v>
                </c:pt>
                <c:pt idx="204">
                  <c:v>9.5850000000000009</c:v>
                </c:pt>
                <c:pt idx="205">
                  <c:v>9.4920000000000009</c:v>
                </c:pt>
                <c:pt idx="206">
                  <c:v>9.5399999999999991</c:v>
                </c:pt>
                <c:pt idx="207">
                  <c:v>9.2769999999999992</c:v>
                </c:pt>
                <c:pt idx="208">
                  <c:v>9.1199999999999992</c:v>
                </c:pt>
                <c:pt idx="209">
                  <c:v>9.1509999999999998</c:v>
                </c:pt>
                <c:pt idx="210">
                  <c:v>8.9760000000000009</c:v>
                </c:pt>
                <c:pt idx="211">
                  <c:v>9.2850000000000001</c:v>
                </c:pt>
                <c:pt idx="212">
                  <c:v>8.9740000000000002</c:v>
                </c:pt>
                <c:pt idx="213">
                  <c:v>8.9</c:v>
                </c:pt>
                <c:pt idx="214">
                  <c:v>8.8659999999999997</c:v>
                </c:pt>
                <c:pt idx="215">
                  <c:v>8.7799999999999994</c:v>
                </c:pt>
                <c:pt idx="216">
                  <c:v>9.0090000000000003</c:v>
                </c:pt>
                <c:pt idx="217">
                  <c:v>8.9429999999999996</c:v>
                </c:pt>
                <c:pt idx="218">
                  <c:v>9.1419999999999995</c:v>
                </c:pt>
                <c:pt idx="219">
                  <c:v>9.2490000000000006</c:v>
                </c:pt>
                <c:pt idx="220">
                  <c:v>9.391</c:v>
                </c:pt>
                <c:pt idx="221">
                  <c:v>9.4499999999999993</c:v>
                </c:pt>
                <c:pt idx="222">
                  <c:v>9.6159999999999997</c:v>
                </c:pt>
                <c:pt idx="223">
                  <c:v>9.5549999999999997</c:v>
                </c:pt>
                <c:pt idx="224">
                  <c:v>9.3059999999999992</c:v>
                </c:pt>
                <c:pt idx="225">
                  <c:v>9.4209999999999994</c:v>
                </c:pt>
                <c:pt idx="226">
                  <c:v>9.2200000000000006</c:v>
                </c:pt>
                <c:pt idx="227">
                  <c:v>9.1560000000000006</c:v>
                </c:pt>
                <c:pt idx="228">
                  <c:v>9.2680000000000007</c:v>
                </c:pt>
                <c:pt idx="229">
                  <c:v>9.0920000000000005</c:v>
                </c:pt>
                <c:pt idx="230">
                  <c:v>9.1310000000000002</c:v>
                </c:pt>
                <c:pt idx="231">
                  <c:v>9.1010000000000009</c:v>
                </c:pt>
                <c:pt idx="232">
                  <c:v>8.9960000000000004</c:v>
                </c:pt>
                <c:pt idx="233">
                  <c:v>9.173</c:v>
                </c:pt>
                <c:pt idx="234">
                  <c:v>8.9600000000000009</c:v>
                </c:pt>
                <c:pt idx="235">
                  <c:v>9.2560000000000002</c:v>
                </c:pt>
                <c:pt idx="236">
                  <c:v>9.1210000000000004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BE-4E97-87A4-1FE8B5797841}"/>
            </c:ext>
          </c:extLst>
        </c:ser>
        <c:ser>
          <c:idx val="1"/>
          <c:order val="1"/>
          <c:tx>
            <c:strRef>
              <c:f>Kalkulationen!$E$3</c:f>
              <c:strCache>
                <c:ptCount val="1"/>
                <c:pt idx="0">
                  <c:v>R2_HA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Kalkulationen!$B$4:$B$240</c:f>
              <c:numCache>
                <c:formatCode>General</c:formatCode>
                <c:ptCount val="23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12.2</c:v>
                </c:pt>
                <c:pt idx="60">
                  <c:v>12.4</c:v>
                </c:pt>
                <c:pt idx="61">
                  <c:v>12.6</c:v>
                </c:pt>
                <c:pt idx="62">
                  <c:v>12.8</c:v>
                </c:pt>
                <c:pt idx="63">
                  <c:v>13</c:v>
                </c:pt>
                <c:pt idx="64">
                  <c:v>13.2</c:v>
                </c:pt>
                <c:pt idx="65">
                  <c:v>13.4</c:v>
                </c:pt>
                <c:pt idx="66">
                  <c:v>13.6</c:v>
                </c:pt>
                <c:pt idx="67">
                  <c:v>13.8</c:v>
                </c:pt>
                <c:pt idx="68">
                  <c:v>14</c:v>
                </c:pt>
                <c:pt idx="69">
                  <c:v>14.2</c:v>
                </c:pt>
                <c:pt idx="70">
                  <c:v>14.4</c:v>
                </c:pt>
                <c:pt idx="71">
                  <c:v>14.6</c:v>
                </c:pt>
                <c:pt idx="72">
                  <c:v>14.8</c:v>
                </c:pt>
                <c:pt idx="73">
                  <c:v>15</c:v>
                </c:pt>
                <c:pt idx="74">
                  <c:v>15.2</c:v>
                </c:pt>
                <c:pt idx="75">
                  <c:v>15.4</c:v>
                </c:pt>
                <c:pt idx="76">
                  <c:v>15.6</c:v>
                </c:pt>
                <c:pt idx="77">
                  <c:v>15.8</c:v>
                </c:pt>
                <c:pt idx="78">
                  <c:v>16</c:v>
                </c:pt>
                <c:pt idx="79">
                  <c:v>16.2</c:v>
                </c:pt>
                <c:pt idx="80">
                  <c:v>16.399999999999999</c:v>
                </c:pt>
                <c:pt idx="81">
                  <c:v>16.600000000000001</c:v>
                </c:pt>
                <c:pt idx="82">
                  <c:v>18</c:v>
                </c:pt>
                <c:pt idx="83">
                  <c:v>20</c:v>
                </c:pt>
                <c:pt idx="84">
                  <c:v>20.2</c:v>
                </c:pt>
                <c:pt idx="85">
                  <c:v>20.399999999999999</c:v>
                </c:pt>
                <c:pt idx="86">
                  <c:v>20.6</c:v>
                </c:pt>
                <c:pt idx="87">
                  <c:v>20.8</c:v>
                </c:pt>
                <c:pt idx="88">
                  <c:v>21</c:v>
                </c:pt>
                <c:pt idx="89">
                  <c:v>21.2</c:v>
                </c:pt>
                <c:pt idx="90">
                  <c:v>21.4</c:v>
                </c:pt>
                <c:pt idx="91">
                  <c:v>21.6</c:v>
                </c:pt>
                <c:pt idx="92">
                  <c:v>21.8</c:v>
                </c:pt>
                <c:pt idx="93">
                  <c:v>22</c:v>
                </c:pt>
                <c:pt idx="94">
                  <c:v>22.2</c:v>
                </c:pt>
                <c:pt idx="95">
                  <c:v>22.4</c:v>
                </c:pt>
                <c:pt idx="96">
                  <c:v>22.6</c:v>
                </c:pt>
                <c:pt idx="97">
                  <c:v>22.8</c:v>
                </c:pt>
                <c:pt idx="98">
                  <c:v>23</c:v>
                </c:pt>
                <c:pt idx="99">
                  <c:v>23.2</c:v>
                </c:pt>
                <c:pt idx="100">
                  <c:v>23.4</c:v>
                </c:pt>
                <c:pt idx="101">
                  <c:v>23.6</c:v>
                </c:pt>
                <c:pt idx="102">
                  <c:v>23.8</c:v>
                </c:pt>
                <c:pt idx="103">
                  <c:v>24</c:v>
                </c:pt>
                <c:pt idx="104">
                  <c:v>24.2</c:v>
                </c:pt>
                <c:pt idx="105">
                  <c:v>24.4</c:v>
                </c:pt>
                <c:pt idx="106">
                  <c:v>24.6</c:v>
                </c:pt>
                <c:pt idx="107">
                  <c:v>24.8</c:v>
                </c:pt>
                <c:pt idx="108">
                  <c:v>25</c:v>
                </c:pt>
                <c:pt idx="109">
                  <c:v>25.2</c:v>
                </c:pt>
                <c:pt idx="110">
                  <c:v>25.4</c:v>
                </c:pt>
                <c:pt idx="111">
                  <c:v>25.6</c:v>
                </c:pt>
                <c:pt idx="112">
                  <c:v>25.8</c:v>
                </c:pt>
                <c:pt idx="113">
                  <c:v>26</c:v>
                </c:pt>
                <c:pt idx="114">
                  <c:v>26.2</c:v>
                </c:pt>
                <c:pt idx="115">
                  <c:v>26.4</c:v>
                </c:pt>
                <c:pt idx="116">
                  <c:v>26.6</c:v>
                </c:pt>
                <c:pt idx="117">
                  <c:v>26.8</c:v>
                </c:pt>
                <c:pt idx="118">
                  <c:v>27</c:v>
                </c:pt>
                <c:pt idx="119">
                  <c:v>27.2</c:v>
                </c:pt>
                <c:pt idx="120">
                  <c:v>27.4</c:v>
                </c:pt>
                <c:pt idx="121">
                  <c:v>27.6</c:v>
                </c:pt>
                <c:pt idx="122">
                  <c:v>27.8</c:v>
                </c:pt>
                <c:pt idx="123">
                  <c:v>28</c:v>
                </c:pt>
                <c:pt idx="124">
                  <c:v>28.2</c:v>
                </c:pt>
                <c:pt idx="125">
                  <c:v>28.4</c:v>
                </c:pt>
                <c:pt idx="126">
                  <c:v>28.6</c:v>
                </c:pt>
                <c:pt idx="127">
                  <c:v>28.8</c:v>
                </c:pt>
                <c:pt idx="128">
                  <c:v>29</c:v>
                </c:pt>
                <c:pt idx="129">
                  <c:v>29.2</c:v>
                </c:pt>
                <c:pt idx="130">
                  <c:v>29.4</c:v>
                </c:pt>
                <c:pt idx="131">
                  <c:v>29.6</c:v>
                </c:pt>
                <c:pt idx="132">
                  <c:v>29.8</c:v>
                </c:pt>
                <c:pt idx="133">
                  <c:v>30</c:v>
                </c:pt>
                <c:pt idx="134">
                  <c:v>30.2</c:v>
                </c:pt>
                <c:pt idx="135">
                  <c:v>30.4</c:v>
                </c:pt>
                <c:pt idx="136">
                  <c:v>30.6</c:v>
                </c:pt>
                <c:pt idx="137">
                  <c:v>30.8</c:v>
                </c:pt>
                <c:pt idx="138">
                  <c:v>31</c:v>
                </c:pt>
                <c:pt idx="139">
                  <c:v>31.2</c:v>
                </c:pt>
                <c:pt idx="140">
                  <c:v>31.4</c:v>
                </c:pt>
                <c:pt idx="141">
                  <c:v>31.6</c:v>
                </c:pt>
                <c:pt idx="142">
                  <c:v>31.8</c:v>
                </c:pt>
                <c:pt idx="143">
                  <c:v>32</c:v>
                </c:pt>
                <c:pt idx="144">
                  <c:v>32.200000000000003</c:v>
                </c:pt>
                <c:pt idx="145">
                  <c:v>32.4</c:v>
                </c:pt>
                <c:pt idx="146">
                  <c:v>32.6</c:v>
                </c:pt>
                <c:pt idx="147">
                  <c:v>32.799999999999997</c:v>
                </c:pt>
                <c:pt idx="148">
                  <c:v>33</c:v>
                </c:pt>
                <c:pt idx="149">
                  <c:v>33.200000000000003</c:v>
                </c:pt>
                <c:pt idx="150">
                  <c:v>33.4</c:v>
                </c:pt>
                <c:pt idx="151">
                  <c:v>33.6</c:v>
                </c:pt>
                <c:pt idx="152">
                  <c:v>33.799999999999997</c:v>
                </c:pt>
                <c:pt idx="153">
                  <c:v>34</c:v>
                </c:pt>
                <c:pt idx="154">
                  <c:v>34.200000000000003</c:v>
                </c:pt>
                <c:pt idx="155">
                  <c:v>34.4</c:v>
                </c:pt>
                <c:pt idx="156">
                  <c:v>34.6</c:v>
                </c:pt>
                <c:pt idx="157">
                  <c:v>34.799999999999997</c:v>
                </c:pt>
                <c:pt idx="158">
                  <c:v>35</c:v>
                </c:pt>
                <c:pt idx="159">
                  <c:v>35.200000000000003</c:v>
                </c:pt>
                <c:pt idx="160">
                  <c:v>35.4</c:v>
                </c:pt>
                <c:pt idx="161">
                  <c:v>35.6</c:v>
                </c:pt>
                <c:pt idx="162">
                  <c:v>35.799999999999997</c:v>
                </c:pt>
                <c:pt idx="163">
                  <c:v>36</c:v>
                </c:pt>
                <c:pt idx="164">
                  <c:v>36.200000000000003</c:v>
                </c:pt>
                <c:pt idx="165">
                  <c:v>36.4</c:v>
                </c:pt>
                <c:pt idx="166">
                  <c:v>36.6</c:v>
                </c:pt>
                <c:pt idx="167">
                  <c:v>36.799999999999997</c:v>
                </c:pt>
                <c:pt idx="168">
                  <c:v>37</c:v>
                </c:pt>
                <c:pt idx="169">
                  <c:v>37.200000000000003</c:v>
                </c:pt>
                <c:pt idx="170">
                  <c:v>37.4</c:v>
                </c:pt>
                <c:pt idx="171">
                  <c:v>37.6</c:v>
                </c:pt>
                <c:pt idx="172">
                  <c:v>37.799999999999997</c:v>
                </c:pt>
                <c:pt idx="173">
                  <c:v>38</c:v>
                </c:pt>
                <c:pt idx="174">
                  <c:v>38.200000000000003</c:v>
                </c:pt>
                <c:pt idx="175">
                  <c:v>38.4</c:v>
                </c:pt>
                <c:pt idx="176">
                  <c:v>38.6</c:v>
                </c:pt>
                <c:pt idx="177">
                  <c:v>38.799999999999997</c:v>
                </c:pt>
                <c:pt idx="178">
                  <c:v>39</c:v>
                </c:pt>
                <c:pt idx="179">
                  <c:v>39.200000000000003</c:v>
                </c:pt>
                <c:pt idx="180">
                  <c:v>39.4</c:v>
                </c:pt>
                <c:pt idx="181">
                  <c:v>39.6</c:v>
                </c:pt>
                <c:pt idx="182">
                  <c:v>39.799999999999997</c:v>
                </c:pt>
                <c:pt idx="183">
                  <c:v>40</c:v>
                </c:pt>
                <c:pt idx="184">
                  <c:v>40.200000000000003</c:v>
                </c:pt>
                <c:pt idx="185">
                  <c:v>40.4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41</c:v>
                </c:pt>
                <c:pt idx="189">
                  <c:v>41.2</c:v>
                </c:pt>
                <c:pt idx="190">
                  <c:v>41.4</c:v>
                </c:pt>
                <c:pt idx="191">
                  <c:v>41.6</c:v>
                </c:pt>
                <c:pt idx="192">
                  <c:v>41.8</c:v>
                </c:pt>
                <c:pt idx="193">
                  <c:v>42</c:v>
                </c:pt>
                <c:pt idx="194">
                  <c:v>42.2</c:v>
                </c:pt>
                <c:pt idx="195">
                  <c:v>42.4</c:v>
                </c:pt>
                <c:pt idx="196">
                  <c:v>42.6</c:v>
                </c:pt>
                <c:pt idx="197">
                  <c:v>42.8</c:v>
                </c:pt>
                <c:pt idx="198">
                  <c:v>43</c:v>
                </c:pt>
                <c:pt idx="199">
                  <c:v>43.2</c:v>
                </c:pt>
                <c:pt idx="200">
                  <c:v>43.4</c:v>
                </c:pt>
                <c:pt idx="201">
                  <c:v>43.6</c:v>
                </c:pt>
                <c:pt idx="202">
                  <c:v>43.8</c:v>
                </c:pt>
                <c:pt idx="203">
                  <c:v>45.3</c:v>
                </c:pt>
                <c:pt idx="204">
                  <c:v>45.5</c:v>
                </c:pt>
                <c:pt idx="205">
                  <c:v>45.7</c:v>
                </c:pt>
                <c:pt idx="206">
                  <c:v>45.9</c:v>
                </c:pt>
                <c:pt idx="207">
                  <c:v>46.1</c:v>
                </c:pt>
                <c:pt idx="208">
                  <c:v>46.3</c:v>
                </c:pt>
                <c:pt idx="209">
                  <c:v>46.5</c:v>
                </c:pt>
                <c:pt idx="210">
                  <c:v>46.7</c:v>
                </c:pt>
                <c:pt idx="211">
                  <c:v>46.9</c:v>
                </c:pt>
                <c:pt idx="212">
                  <c:v>47.1</c:v>
                </c:pt>
                <c:pt idx="213">
                  <c:v>47.3</c:v>
                </c:pt>
                <c:pt idx="214">
                  <c:v>47.5</c:v>
                </c:pt>
                <c:pt idx="215">
                  <c:v>47.7</c:v>
                </c:pt>
                <c:pt idx="216">
                  <c:v>47.9</c:v>
                </c:pt>
                <c:pt idx="217">
                  <c:v>48.1</c:v>
                </c:pt>
                <c:pt idx="218">
                  <c:v>48.3</c:v>
                </c:pt>
                <c:pt idx="219">
                  <c:v>48.5</c:v>
                </c:pt>
                <c:pt idx="220">
                  <c:v>48.7</c:v>
                </c:pt>
                <c:pt idx="221">
                  <c:v>48.9</c:v>
                </c:pt>
                <c:pt idx="222">
                  <c:v>49.1</c:v>
                </c:pt>
                <c:pt idx="223">
                  <c:v>49.3</c:v>
                </c:pt>
                <c:pt idx="224">
                  <c:v>49.5</c:v>
                </c:pt>
                <c:pt idx="225">
                  <c:v>49.7</c:v>
                </c:pt>
                <c:pt idx="226">
                  <c:v>49.9</c:v>
                </c:pt>
                <c:pt idx="227">
                  <c:v>50.1</c:v>
                </c:pt>
                <c:pt idx="228">
                  <c:v>50.3</c:v>
                </c:pt>
                <c:pt idx="229">
                  <c:v>50.5</c:v>
                </c:pt>
                <c:pt idx="230">
                  <c:v>50.7</c:v>
                </c:pt>
                <c:pt idx="231">
                  <c:v>50.9</c:v>
                </c:pt>
                <c:pt idx="232">
                  <c:v>51.1</c:v>
                </c:pt>
                <c:pt idx="233">
                  <c:v>51.3</c:v>
                </c:pt>
                <c:pt idx="234">
                  <c:v>51.5</c:v>
                </c:pt>
                <c:pt idx="235">
                  <c:v>51.7</c:v>
                </c:pt>
                <c:pt idx="236">
                  <c:v>51.9</c:v>
                </c:pt>
              </c:numCache>
            </c:numRef>
          </c:cat>
          <c:val>
            <c:numRef>
              <c:f>Kalkulationen!$E$4:$E$240</c:f>
              <c:numCache>
                <c:formatCode>General</c:formatCode>
                <c:ptCount val="237"/>
                <c:pt idx="0">
                  <c:v>0</c:v>
                </c:pt>
                <c:pt idx="1">
                  <c:v>0.14499999999999999</c:v>
                </c:pt>
                <c:pt idx="2">
                  <c:v>-3.4000000000000002E-2</c:v>
                </c:pt>
                <c:pt idx="3">
                  <c:v>-9.0999999999999998E-2</c:v>
                </c:pt>
                <c:pt idx="4">
                  <c:v>0.24199999999999999</c:v>
                </c:pt>
                <c:pt idx="5">
                  <c:v>0.45700000000000002</c:v>
                </c:pt>
                <c:pt idx="6">
                  <c:v>0.28899999999999998</c:v>
                </c:pt>
                <c:pt idx="7">
                  <c:v>0.35899999999999999</c:v>
                </c:pt>
                <c:pt idx="8">
                  <c:v>0.34899999999999998</c:v>
                </c:pt>
                <c:pt idx="9">
                  <c:v>0.114</c:v>
                </c:pt>
                <c:pt idx="10">
                  <c:v>0.151</c:v>
                </c:pt>
                <c:pt idx="11">
                  <c:v>-1.6E-2</c:v>
                </c:pt>
                <c:pt idx="12">
                  <c:v>-0.19800000000000001</c:v>
                </c:pt>
                <c:pt idx="13">
                  <c:v>-0.215</c:v>
                </c:pt>
                <c:pt idx="14">
                  <c:v>4.3999999999999997E-2</c:v>
                </c:pt>
                <c:pt idx="15">
                  <c:v>-0.254</c:v>
                </c:pt>
                <c:pt idx="16">
                  <c:v>-0.39100000000000001</c:v>
                </c:pt>
                <c:pt idx="17">
                  <c:v>-0.45500000000000002</c:v>
                </c:pt>
                <c:pt idx="18">
                  <c:v>-0.252</c:v>
                </c:pt>
                <c:pt idx="19">
                  <c:v>-0.186</c:v>
                </c:pt>
                <c:pt idx="20">
                  <c:v>-0.219</c:v>
                </c:pt>
                <c:pt idx="21">
                  <c:v>-0.252</c:v>
                </c:pt>
                <c:pt idx="22">
                  <c:v>-0.34100000000000003</c:v>
                </c:pt>
                <c:pt idx="23">
                  <c:v>-0.16800000000000001</c:v>
                </c:pt>
                <c:pt idx="24">
                  <c:v>-0.19500000000000001</c:v>
                </c:pt>
                <c:pt idx="25">
                  <c:v>-0.314</c:v>
                </c:pt>
                <c:pt idx="26">
                  <c:v>-0.29599999999999999</c:v>
                </c:pt>
                <c:pt idx="27">
                  <c:v>-7.2999999999999995E-2</c:v>
                </c:pt>
                <c:pt idx="28">
                  <c:v>-0.154</c:v>
                </c:pt>
                <c:pt idx="29">
                  <c:v>-0.159</c:v>
                </c:pt>
                <c:pt idx="30">
                  <c:v>-0.36</c:v>
                </c:pt>
                <c:pt idx="31">
                  <c:v>0.159</c:v>
                </c:pt>
                <c:pt idx="32">
                  <c:v>-0.22</c:v>
                </c:pt>
                <c:pt idx="33">
                  <c:v>-7.3999999999999996E-2</c:v>
                </c:pt>
                <c:pt idx="34">
                  <c:v>-0.27</c:v>
                </c:pt>
                <c:pt idx="35">
                  <c:v>-0.192</c:v>
                </c:pt>
                <c:pt idx="36">
                  <c:v>-0.121</c:v>
                </c:pt>
                <c:pt idx="37">
                  <c:v>-0.54400000000000004</c:v>
                </c:pt>
                <c:pt idx="38">
                  <c:v>-0.64600000000000002</c:v>
                </c:pt>
                <c:pt idx="39">
                  <c:v>-0.43099999999999999</c:v>
                </c:pt>
                <c:pt idx="40">
                  <c:v>-0.36199999999999999</c:v>
                </c:pt>
                <c:pt idx="41">
                  <c:v>-0.56000000000000005</c:v>
                </c:pt>
                <c:pt idx="42">
                  <c:v>-0.503</c:v>
                </c:pt>
                <c:pt idx="43">
                  <c:v>-1.02</c:v>
                </c:pt>
                <c:pt idx="44">
                  <c:v>-2.0449999999999999</c:v>
                </c:pt>
                <c:pt idx="45">
                  <c:v>-1.252</c:v>
                </c:pt>
                <c:pt idx="46">
                  <c:v>-8.7230000000000008</c:v>
                </c:pt>
                <c:pt idx="47">
                  <c:v>-16.199000000000002</c:v>
                </c:pt>
                <c:pt idx="48">
                  <c:v>-24.901</c:v>
                </c:pt>
                <c:pt idx="49">
                  <c:v>-18.782</c:v>
                </c:pt>
                <c:pt idx="50">
                  <c:v>-5.5549999999999997</c:v>
                </c:pt>
                <c:pt idx="51">
                  <c:v>11.036</c:v>
                </c:pt>
                <c:pt idx="52">
                  <c:v>12.95</c:v>
                </c:pt>
                <c:pt idx="53">
                  <c:v>10.118</c:v>
                </c:pt>
                <c:pt idx="54">
                  <c:v>1.286</c:v>
                </c:pt>
                <c:pt idx="55">
                  <c:v>0.97499999999999998</c:v>
                </c:pt>
                <c:pt idx="56">
                  <c:v>6.3810000000000002</c:v>
                </c:pt>
                <c:pt idx="57">
                  <c:v>15.733000000000001</c:v>
                </c:pt>
                <c:pt idx="58">
                  <c:v>21.280999999999999</c:v>
                </c:pt>
                <c:pt idx="59">
                  <c:v>0.41</c:v>
                </c:pt>
                <c:pt idx="60">
                  <c:v>2.1000000000000001E-2</c:v>
                </c:pt>
                <c:pt idx="61">
                  <c:v>9.4870000000000001</c:v>
                </c:pt>
                <c:pt idx="62">
                  <c:v>12.952</c:v>
                </c:pt>
                <c:pt idx="63">
                  <c:v>3.3620000000000001</c:v>
                </c:pt>
                <c:pt idx="64">
                  <c:v>3.081</c:v>
                </c:pt>
                <c:pt idx="65">
                  <c:v>-1.5449999999999999</c:v>
                </c:pt>
                <c:pt idx="66">
                  <c:v>1.633</c:v>
                </c:pt>
                <c:pt idx="67">
                  <c:v>6.0810000000000004</c:v>
                </c:pt>
                <c:pt idx="68">
                  <c:v>9.5250000000000004</c:v>
                </c:pt>
                <c:pt idx="69">
                  <c:v>5.3609999999999998</c:v>
                </c:pt>
                <c:pt idx="70">
                  <c:v>-1.909</c:v>
                </c:pt>
                <c:pt idx="71">
                  <c:v>-4.6319999999999997</c:v>
                </c:pt>
                <c:pt idx="72">
                  <c:v>0.57899999999999996</c:v>
                </c:pt>
                <c:pt idx="73">
                  <c:v>7.3529999999999998</c:v>
                </c:pt>
                <c:pt idx="74">
                  <c:v>-2.6960000000000002</c:v>
                </c:pt>
                <c:pt idx="75">
                  <c:v>0.61799999999999999</c:v>
                </c:pt>
                <c:pt idx="76">
                  <c:v>-12.769</c:v>
                </c:pt>
                <c:pt idx="77">
                  <c:v>-15.244999999999999</c:v>
                </c:pt>
                <c:pt idx="78">
                  <c:v>-12.715999999999999</c:v>
                </c:pt>
                <c:pt idx="79">
                  <c:v>-14.036</c:v>
                </c:pt>
                <c:pt idx="80">
                  <c:v>-6.6840000000000002</c:v>
                </c:pt>
                <c:pt idx="81">
                  <c:v>-9.8689999999999998</c:v>
                </c:pt>
                <c:pt idx="82">
                  <c:v>4.0830000000000002</c:v>
                </c:pt>
                <c:pt idx="83">
                  <c:v>-13.504</c:v>
                </c:pt>
                <c:pt idx="84">
                  <c:v>-20.085000000000001</c:v>
                </c:pt>
                <c:pt idx="85">
                  <c:v>-14.388999999999999</c:v>
                </c:pt>
                <c:pt idx="86">
                  <c:v>-5.7560000000000002</c:v>
                </c:pt>
                <c:pt idx="87">
                  <c:v>-4.2809999999999997</c:v>
                </c:pt>
                <c:pt idx="88">
                  <c:v>3.2080000000000002</c:v>
                </c:pt>
                <c:pt idx="89">
                  <c:v>6.1989999999999998</c:v>
                </c:pt>
                <c:pt idx="90">
                  <c:v>9.7780000000000005</c:v>
                </c:pt>
                <c:pt idx="91">
                  <c:v>14.744999999999999</c:v>
                </c:pt>
                <c:pt idx="92">
                  <c:v>14.525</c:v>
                </c:pt>
                <c:pt idx="93">
                  <c:v>13.643000000000001</c:v>
                </c:pt>
                <c:pt idx="94">
                  <c:v>7.8620000000000001</c:v>
                </c:pt>
                <c:pt idx="95">
                  <c:v>4.4509999999999996</c:v>
                </c:pt>
                <c:pt idx="96">
                  <c:v>0.29099999999999998</c:v>
                </c:pt>
                <c:pt idx="97">
                  <c:v>-1.9930000000000001</c:v>
                </c:pt>
                <c:pt idx="98">
                  <c:v>-4.82</c:v>
                </c:pt>
                <c:pt idx="99">
                  <c:v>-7.9989999999999997</c:v>
                </c:pt>
                <c:pt idx="100">
                  <c:v>-9.7650000000000006</c:v>
                </c:pt>
                <c:pt idx="101">
                  <c:v>-7.8929999999999998</c:v>
                </c:pt>
                <c:pt idx="102">
                  <c:v>-4.7830000000000004</c:v>
                </c:pt>
                <c:pt idx="103">
                  <c:v>-2.3159999999999998</c:v>
                </c:pt>
                <c:pt idx="104">
                  <c:v>0.105</c:v>
                </c:pt>
                <c:pt idx="105">
                  <c:v>1.986</c:v>
                </c:pt>
                <c:pt idx="106">
                  <c:v>5.2750000000000004</c:v>
                </c:pt>
                <c:pt idx="107">
                  <c:v>7.5110000000000001</c:v>
                </c:pt>
                <c:pt idx="108">
                  <c:v>10.348000000000001</c:v>
                </c:pt>
                <c:pt idx="109">
                  <c:v>11.113</c:v>
                </c:pt>
                <c:pt idx="110">
                  <c:v>9.6319999999999997</c:v>
                </c:pt>
                <c:pt idx="111">
                  <c:v>7</c:v>
                </c:pt>
                <c:pt idx="112">
                  <c:v>5.609</c:v>
                </c:pt>
                <c:pt idx="113">
                  <c:v>3.5430000000000001</c:v>
                </c:pt>
                <c:pt idx="114">
                  <c:v>1.133</c:v>
                </c:pt>
                <c:pt idx="115">
                  <c:v>-0.96299999999999997</c:v>
                </c:pt>
                <c:pt idx="116">
                  <c:v>-1.9730000000000001</c:v>
                </c:pt>
                <c:pt idx="117">
                  <c:v>-2.8879999999999999</c:v>
                </c:pt>
                <c:pt idx="118">
                  <c:v>-4.4989999999999997</c:v>
                </c:pt>
                <c:pt idx="119">
                  <c:v>-6.2119999999999997</c:v>
                </c:pt>
                <c:pt idx="120">
                  <c:v>-6.9710000000000001</c:v>
                </c:pt>
                <c:pt idx="121">
                  <c:v>-7.1829999999999998</c:v>
                </c:pt>
                <c:pt idx="122">
                  <c:v>-5.6340000000000003</c:v>
                </c:pt>
                <c:pt idx="123">
                  <c:v>-4.6790000000000003</c:v>
                </c:pt>
                <c:pt idx="124">
                  <c:v>-3.7229999999999999</c:v>
                </c:pt>
                <c:pt idx="125">
                  <c:v>-3.4180000000000001</c:v>
                </c:pt>
                <c:pt idx="126">
                  <c:v>-1.4039999999999999</c:v>
                </c:pt>
                <c:pt idx="127">
                  <c:v>-1.0960000000000001</c:v>
                </c:pt>
                <c:pt idx="128">
                  <c:v>0.14899999999999999</c:v>
                </c:pt>
                <c:pt idx="129">
                  <c:v>1.4219999999999999</c:v>
                </c:pt>
                <c:pt idx="130">
                  <c:v>2.617</c:v>
                </c:pt>
                <c:pt idx="131">
                  <c:v>3.8940000000000001</c:v>
                </c:pt>
                <c:pt idx="132">
                  <c:v>5.7779999999999996</c:v>
                </c:pt>
                <c:pt idx="133">
                  <c:v>6.7469999999999999</c:v>
                </c:pt>
                <c:pt idx="134">
                  <c:v>7.1070000000000002</c:v>
                </c:pt>
                <c:pt idx="135">
                  <c:v>8.7289999999999992</c:v>
                </c:pt>
                <c:pt idx="136">
                  <c:v>8.9920000000000009</c:v>
                </c:pt>
                <c:pt idx="137">
                  <c:v>8.5709999999999997</c:v>
                </c:pt>
                <c:pt idx="138">
                  <c:v>7.6870000000000003</c:v>
                </c:pt>
                <c:pt idx="139">
                  <c:v>7.14</c:v>
                </c:pt>
                <c:pt idx="140">
                  <c:v>6.2519999999999998</c:v>
                </c:pt>
                <c:pt idx="141">
                  <c:v>4.7590000000000003</c:v>
                </c:pt>
                <c:pt idx="142">
                  <c:v>4.12</c:v>
                </c:pt>
                <c:pt idx="143">
                  <c:v>3.4860000000000002</c:v>
                </c:pt>
                <c:pt idx="144">
                  <c:v>3.0150000000000001</c:v>
                </c:pt>
                <c:pt idx="145">
                  <c:v>2.56</c:v>
                </c:pt>
                <c:pt idx="146">
                  <c:v>2.181</c:v>
                </c:pt>
                <c:pt idx="147">
                  <c:v>1.8580000000000001</c:v>
                </c:pt>
                <c:pt idx="148">
                  <c:v>1.8540000000000001</c:v>
                </c:pt>
                <c:pt idx="149">
                  <c:v>1.7010000000000001</c:v>
                </c:pt>
                <c:pt idx="150">
                  <c:v>1.764</c:v>
                </c:pt>
                <c:pt idx="151">
                  <c:v>2.0449999999999999</c:v>
                </c:pt>
                <c:pt idx="152">
                  <c:v>2.6789999999999998</c:v>
                </c:pt>
                <c:pt idx="153">
                  <c:v>3.1059999999999999</c:v>
                </c:pt>
                <c:pt idx="154">
                  <c:v>3.5179999999999998</c:v>
                </c:pt>
                <c:pt idx="155">
                  <c:v>4.0129999999999999</c:v>
                </c:pt>
                <c:pt idx="156">
                  <c:v>4.351</c:v>
                </c:pt>
                <c:pt idx="157">
                  <c:v>4.6310000000000002</c:v>
                </c:pt>
                <c:pt idx="158">
                  <c:v>6.1719999999999997</c:v>
                </c:pt>
                <c:pt idx="159">
                  <c:v>5.9459999999999997</c:v>
                </c:pt>
                <c:pt idx="160">
                  <c:v>6.8490000000000002</c:v>
                </c:pt>
                <c:pt idx="161">
                  <c:v>6.2220000000000004</c:v>
                </c:pt>
                <c:pt idx="162">
                  <c:v>6.5709999999999997</c:v>
                </c:pt>
                <c:pt idx="163">
                  <c:v>6.7089999999999996</c:v>
                </c:pt>
                <c:pt idx="164">
                  <c:v>6.5110000000000001</c:v>
                </c:pt>
                <c:pt idx="165">
                  <c:v>6.1429999999999998</c:v>
                </c:pt>
                <c:pt idx="166">
                  <c:v>6.7549999999999999</c:v>
                </c:pt>
                <c:pt idx="167">
                  <c:v>6.6630000000000003</c:v>
                </c:pt>
                <c:pt idx="168">
                  <c:v>6.3129999999999997</c:v>
                </c:pt>
                <c:pt idx="169">
                  <c:v>5.16</c:v>
                </c:pt>
                <c:pt idx="170">
                  <c:v>5.5609999999999999</c:v>
                </c:pt>
                <c:pt idx="171">
                  <c:v>5.31</c:v>
                </c:pt>
                <c:pt idx="172">
                  <c:v>5.218</c:v>
                </c:pt>
                <c:pt idx="173">
                  <c:v>4.952</c:v>
                </c:pt>
                <c:pt idx="174">
                  <c:v>4.8810000000000002</c:v>
                </c:pt>
                <c:pt idx="175">
                  <c:v>4.88</c:v>
                </c:pt>
                <c:pt idx="176">
                  <c:v>4.9740000000000002</c:v>
                </c:pt>
                <c:pt idx="177">
                  <c:v>5.1529999999999996</c:v>
                </c:pt>
                <c:pt idx="178">
                  <c:v>5.2750000000000004</c:v>
                </c:pt>
                <c:pt idx="179">
                  <c:v>4.6420000000000003</c:v>
                </c:pt>
                <c:pt idx="180">
                  <c:v>5.6559999999999997</c:v>
                </c:pt>
                <c:pt idx="181">
                  <c:v>6.0679999999999996</c:v>
                </c:pt>
                <c:pt idx="182">
                  <c:v>6.335</c:v>
                </c:pt>
                <c:pt idx="183">
                  <c:v>6.3179999999999996</c:v>
                </c:pt>
                <c:pt idx="184">
                  <c:v>6.577</c:v>
                </c:pt>
                <c:pt idx="185">
                  <c:v>5.8609999999999998</c:v>
                </c:pt>
                <c:pt idx="186">
                  <c:v>5.9039999999999999</c:v>
                </c:pt>
                <c:pt idx="187">
                  <c:v>5.9550000000000001</c:v>
                </c:pt>
                <c:pt idx="188">
                  <c:v>5.7919999999999998</c:v>
                </c:pt>
                <c:pt idx="189">
                  <c:v>5.6269999999999998</c:v>
                </c:pt>
                <c:pt idx="190">
                  <c:v>6.3040000000000003</c:v>
                </c:pt>
                <c:pt idx="191">
                  <c:v>5.4829999999999997</c:v>
                </c:pt>
                <c:pt idx="192">
                  <c:v>5.2839999999999998</c:v>
                </c:pt>
                <c:pt idx="193">
                  <c:v>4.8810000000000002</c:v>
                </c:pt>
                <c:pt idx="194">
                  <c:v>5.7619999999999996</c:v>
                </c:pt>
                <c:pt idx="195">
                  <c:v>5.665</c:v>
                </c:pt>
                <c:pt idx="196">
                  <c:v>5.5540000000000003</c:v>
                </c:pt>
                <c:pt idx="197">
                  <c:v>5.5730000000000004</c:v>
                </c:pt>
                <c:pt idx="198">
                  <c:v>5.43</c:v>
                </c:pt>
                <c:pt idx="199">
                  <c:v>4.8650000000000002</c:v>
                </c:pt>
                <c:pt idx="200">
                  <c:v>4.9889999999999999</c:v>
                </c:pt>
                <c:pt idx="201">
                  <c:v>5.008</c:v>
                </c:pt>
                <c:pt idx="202">
                  <c:v>5.0869999999999997</c:v>
                </c:pt>
                <c:pt idx="203">
                  <c:v>6.4470000000000001</c:v>
                </c:pt>
                <c:pt idx="204">
                  <c:v>6.2380000000000004</c:v>
                </c:pt>
                <c:pt idx="205">
                  <c:v>6.1280000000000001</c:v>
                </c:pt>
                <c:pt idx="206">
                  <c:v>6.0819999999999999</c:v>
                </c:pt>
                <c:pt idx="207">
                  <c:v>5.9569999999999999</c:v>
                </c:pt>
                <c:pt idx="208">
                  <c:v>5.7270000000000003</c:v>
                </c:pt>
                <c:pt idx="209">
                  <c:v>5.7949999999999999</c:v>
                </c:pt>
                <c:pt idx="210">
                  <c:v>5.7220000000000004</c:v>
                </c:pt>
                <c:pt idx="211">
                  <c:v>5.5570000000000004</c:v>
                </c:pt>
                <c:pt idx="212">
                  <c:v>5.5730000000000004</c:v>
                </c:pt>
                <c:pt idx="213">
                  <c:v>5.6459999999999999</c:v>
                </c:pt>
                <c:pt idx="214">
                  <c:v>5.5110000000000001</c:v>
                </c:pt>
                <c:pt idx="215">
                  <c:v>5.508</c:v>
                </c:pt>
                <c:pt idx="216">
                  <c:v>5.8380000000000001</c:v>
                </c:pt>
                <c:pt idx="217">
                  <c:v>5.8159999999999998</c:v>
                </c:pt>
                <c:pt idx="218">
                  <c:v>5.8869999999999996</c:v>
                </c:pt>
                <c:pt idx="219">
                  <c:v>6.0780000000000003</c:v>
                </c:pt>
                <c:pt idx="220">
                  <c:v>5.1660000000000004</c:v>
                </c:pt>
                <c:pt idx="221">
                  <c:v>5.0190000000000001</c:v>
                </c:pt>
                <c:pt idx="222">
                  <c:v>4.9870000000000001</c:v>
                </c:pt>
                <c:pt idx="223">
                  <c:v>5.774</c:v>
                </c:pt>
                <c:pt idx="224">
                  <c:v>5.0659999999999998</c:v>
                </c:pt>
                <c:pt idx="225">
                  <c:v>5.4189999999999996</c:v>
                </c:pt>
                <c:pt idx="226">
                  <c:v>6.3970000000000002</c:v>
                </c:pt>
                <c:pt idx="227">
                  <c:v>6.18</c:v>
                </c:pt>
                <c:pt idx="228">
                  <c:v>5.9969999999999999</c:v>
                </c:pt>
                <c:pt idx="229">
                  <c:v>5.2229999999999999</c:v>
                </c:pt>
                <c:pt idx="230">
                  <c:v>5.7880000000000003</c:v>
                </c:pt>
                <c:pt idx="231">
                  <c:v>4.9859999999999998</c:v>
                </c:pt>
                <c:pt idx="232">
                  <c:v>5.95</c:v>
                </c:pt>
                <c:pt idx="233">
                  <c:v>5.0449999999999999</c:v>
                </c:pt>
                <c:pt idx="234">
                  <c:v>5.7359999999999998</c:v>
                </c:pt>
                <c:pt idx="235">
                  <c:v>5.7229999999999999</c:v>
                </c:pt>
                <c:pt idx="236">
                  <c:v>5.6710000000000003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BE-4E97-87A4-1FE8B5797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15647"/>
        <c:axId val="757527647"/>
      </c:lineChart>
      <c:catAx>
        <c:axId val="7575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27647"/>
        <c:crosses val="autoZero"/>
        <c:auto val="1"/>
        <c:lblAlgn val="ctr"/>
        <c:lblOffset val="100"/>
        <c:noMultiLvlLbl val="0"/>
      </c:catAx>
      <c:valAx>
        <c:axId val="7575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Auslenkung</a:t>
                </a:r>
                <a:r>
                  <a:rPr lang="de-DE" baseline="0"/>
                  <a:t> [cm]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Vertikale Auslenkung Gestänge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Kalkulationen!$G$3</c:f>
              <c:strCache>
                <c:ptCount val="1"/>
                <c:pt idx="0">
                  <c:v>R1_VA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Kalkulationen!$B$4:$B$240</c:f>
              <c:numCache>
                <c:formatCode>General</c:formatCode>
                <c:ptCount val="23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12.2</c:v>
                </c:pt>
                <c:pt idx="60">
                  <c:v>12.4</c:v>
                </c:pt>
                <c:pt idx="61">
                  <c:v>12.6</c:v>
                </c:pt>
                <c:pt idx="62">
                  <c:v>12.8</c:v>
                </c:pt>
                <c:pt idx="63">
                  <c:v>13</c:v>
                </c:pt>
                <c:pt idx="64">
                  <c:v>13.2</c:v>
                </c:pt>
                <c:pt idx="65">
                  <c:v>13.4</c:v>
                </c:pt>
                <c:pt idx="66">
                  <c:v>13.6</c:v>
                </c:pt>
                <c:pt idx="67">
                  <c:v>13.8</c:v>
                </c:pt>
                <c:pt idx="68">
                  <c:v>14</c:v>
                </c:pt>
                <c:pt idx="69">
                  <c:v>14.2</c:v>
                </c:pt>
                <c:pt idx="70">
                  <c:v>14.4</c:v>
                </c:pt>
                <c:pt idx="71">
                  <c:v>14.6</c:v>
                </c:pt>
                <c:pt idx="72">
                  <c:v>14.8</c:v>
                </c:pt>
                <c:pt idx="73">
                  <c:v>15</c:v>
                </c:pt>
                <c:pt idx="74">
                  <c:v>15.2</c:v>
                </c:pt>
                <c:pt idx="75">
                  <c:v>15.4</c:v>
                </c:pt>
                <c:pt idx="76">
                  <c:v>15.6</c:v>
                </c:pt>
                <c:pt idx="77">
                  <c:v>15.8</c:v>
                </c:pt>
                <c:pt idx="78">
                  <c:v>16</c:v>
                </c:pt>
                <c:pt idx="79">
                  <c:v>16.2</c:v>
                </c:pt>
                <c:pt idx="80">
                  <c:v>16.399999999999999</c:v>
                </c:pt>
                <c:pt idx="81">
                  <c:v>16.600000000000001</c:v>
                </c:pt>
                <c:pt idx="82">
                  <c:v>18</c:v>
                </c:pt>
                <c:pt idx="83">
                  <c:v>20</c:v>
                </c:pt>
                <c:pt idx="84">
                  <c:v>20.2</c:v>
                </c:pt>
                <c:pt idx="85">
                  <c:v>20.399999999999999</c:v>
                </c:pt>
                <c:pt idx="86">
                  <c:v>20.6</c:v>
                </c:pt>
                <c:pt idx="87">
                  <c:v>20.8</c:v>
                </c:pt>
                <c:pt idx="88">
                  <c:v>21</c:v>
                </c:pt>
                <c:pt idx="89">
                  <c:v>21.2</c:v>
                </c:pt>
                <c:pt idx="90">
                  <c:v>21.4</c:v>
                </c:pt>
                <c:pt idx="91">
                  <c:v>21.6</c:v>
                </c:pt>
                <c:pt idx="92">
                  <c:v>21.8</c:v>
                </c:pt>
                <c:pt idx="93">
                  <c:v>22</c:v>
                </c:pt>
                <c:pt idx="94">
                  <c:v>22.2</c:v>
                </c:pt>
                <c:pt idx="95">
                  <c:v>22.4</c:v>
                </c:pt>
                <c:pt idx="96">
                  <c:v>22.6</c:v>
                </c:pt>
                <c:pt idx="97">
                  <c:v>22.8</c:v>
                </c:pt>
                <c:pt idx="98">
                  <c:v>23</c:v>
                </c:pt>
                <c:pt idx="99">
                  <c:v>23.2</c:v>
                </c:pt>
                <c:pt idx="100">
                  <c:v>23.4</c:v>
                </c:pt>
                <c:pt idx="101">
                  <c:v>23.6</c:v>
                </c:pt>
                <c:pt idx="102">
                  <c:v>23.8</c:v>
                </c:pt>
                <c:pt idx="103">
                  <c:v>24</c:v>
                </c:pt>
                <c:pt idx="104">
                  <c:v>24.2</c:v>
                </c:pt>
                <c:pt idx="105">
                  <c:v>24.4</c:v>
                </c:pt>
                <c:pt idx="106">
                  <c:v>24.6</c:v>
                </c:pt>
                <c:pt idx="107">
                  <c:v>24.8</c:v>
                </c:pt>
                <c:pt idx="108">
                  <c:v>25</c:v>
                </c:pt>
                <c:pt idx="109">
                  <c:v>25.2</c:v>
                </c:pt>
                <c:pt idx="110">
                  <c:v>25.4</c:v>
                </c:pt>
                <c:pt idx="111">
                  <c:v>25.6</c:v>
                </c:pt>
                <c:pt idx="112">
                  <c:v>25.8</c:v>
                </c:pt>
                <c:pt idx="113">
                  <c:v>26</c:v>
                </c:pt>
                <c:pt idx="114">
                  <c:v>26.2</c:v>
                </c:pt>
                <c:pt idx="115">
                  <c:v>26.4</c:v>
                </c:pt>
                <c:pt idx="116">
                  <c:v>26.6</c:v>
                </c:pt>
                <c:pt idx="117">
                  <c:v>26.8</c:v>
                </c:pt>
                <c:pt idx="118">
                  <c:v>27</c:v>
                </c:pt>
                <c:pt idx="119">
                  <c:v>27.2</c:v>
                </c:pt>
                <c:pt idx="120">
                  <c:v>27.4</c:v>
                </c:pt>
                <c:pt idx="121">
                  <c:v>27.6</c:v>
                </c:pt>
                <c:pt idx="122">
                  <c:v>27.8</c:v>
                </c:pt>
                <c:pt idx="123">
                  <c:v>28</c:v>
                </c:pt>
                <c:pt idx="124">
                  <c:v>28.2</c:v>
                </c:pt>
                <c:pt idx="125">
                  <c:v>28.4</c:v>
                </c:pt>
                <c:pt idx="126">
                  <c:v>28.6</c:v>
                </c:pt>
                <c:pt idx="127">
                  <c:v>28.8</c:v>
                </c:pt>
                <c:pt idx="128">
                  <c:v>29</c:v>
                </c:pt>
                <c:pt idx="129">
                  <c:v>29.2</c:v>
                </c:pt>
                <c:pt idx="130">
                  <c:v>29.4</c:v>
                </c:pt>
                <c:pt idx="131">
                  <c:v>29.6</c:v>
                </c:pt>
                <c:pt idx="132">
                  <c:v>29.8</c:v>
                </c:pt>
                <c:pt idx="133">
                  <c:v>30</c:v>
                </c:pt>
                <c:pt idx="134">
                  <c:v>30.2</c:v>
                </c:pt>
                <c:pt idx="135">
                  <c:v>30.4</c:v>
                </c:pt>
                <c:pt idx="136">
                  <c:v>30.6</c:v>
                </c:pt>
                <c:pt idx="137">
                  <c:v>30.8</c:v>
                </c:pt>
                <c:pt idx="138">
                  <c:v>31</c:v>
                </c:pt>
                <c:pt idx="139">
                  <c:v>31.2</c:v>
                </c:pt>
                <c:pt idx="140">
                  <c:v>31.4</c:v>
                </c:pt>
                <c:pt idx="141">
                  <c:v>31.6</c:v>
                </c:pt>
                <c:pt idx="142">
                  <c:v>31.8</c:v>
                </c:pt>
                <c:pt idx="143">
                  <c:v>32</c:v>
                </c:pt>
                <c:pt idx="144">
                  <c:v>32.200000000000003</c:v>
                </c:pt>
                <c:pt idx="145">
                  <c:v>32.4</c:v>
                </c:pt>
                <c:pt idx="146">
                  <c:v>32.6</c:v>
                </c:pt>
                <c:pt idx="147">
                  <c:v>32.799999999999997</c:v>
                </c:pt>
                <c:pt idx="148">
                  <c:v>33</c:v>
                </c:pt>
                <c:pt idx="149">
                  <c:v>33.200000000000003</c:v>
                </c:pt>
                <c:pt idx="150">
                  <c:v>33.4</c:v>
                </c:pt>
                <c:pt idx="151">
                  <c:v>33.6</c:v>
                </c:pt>
                <c:pt idx="152">
                  <c:v>33.799999999999997</c:v>
                </c:pt>
                <c:pt idx="153">
                  <c:v>34</c:v>
                </c:pt>
                <c:pt idx="154">
                  <c:v>34.200000000000003</c:v>
                </c:pt>
                <c:pt idx="155">
                  <c:v>34.4</c:v>
                </c:pt>
                <c:pt idx="156">
                  <c:v>34.6</c:v>
                </c:pt>
                <c:pt idx="157">
                  <c:v>34.799999999999997</c:v>
                </c:pt>
                <c:pt idx="158">
                  <c:v>35</c:v>
                </c:pt>
                <c:pt idx="159">
                  <c:v>35.200000000000003</c:v>
                </c:pt>
                <c:pt idx="160">
                  <c:v>35.4</c:v>
                </c:pt>
                <c:pt idx="161">
                  <c:v>35.6</c:v>
                </c:pt>
                <c:pt idx="162">
                  <c:v>35.799999999999997</c:v>
                </c:pt>
                <c:pt idx="163">
                  <c:v>36</c:v>
                </c:pt>
                <c:pt idx="164">
                  <c:v>36.200000000000003</c:v>
                </c:pt>
                <c:pt idx="165">
                  <c:v>36.4</c:v>
                </c:pt>
                <c:pt idx="166">
                  <c:v>36.6</c:v>
                </c:pt>
                <c:pt idx="167">
                  <c:v>36.799999999999997</c:v>
                </c:pt>
                <c:pt idx="168">
                  <c:v>37</c:v>
                </c:pt>
                <c:pt idx="169">
                  <c:v>37.200000000000003</c:v>
                </c:pt>
                <c:pt idx="170">
                  <c:v>37.4</c:v>
                </c:pt>
                <c:pt idx="171">
                  <c:v>37.6</c:v>
                </c:pt>
                <c:pt idx="172">
                  <c:v>37.799999999999997</c:v>
                </c:pt>
                <c:pt idx="173">
                  <c:v>38</c:v>
                </c:pt>
                <c:pt idx="174">
                  <c:v>38.200000000000003</c:v>
                </c:pt>
                <c:pt idx="175">
                  <c:v>38.4</c:v>
                </c:pt>
                <c:pt idx="176">
                  <c:v>38.6</c:v>
                </c:pt>
                <c:pt idx="177">
                  <c:v>38.799999999999997</c:v>
                </c:pt>
                <c:pt idx="178">
                  <c:v>39</c:v>
                </c:pt>
                <c:pt idx="179">
                  <c:v>39.200000000000003</c:v>
                </c:pt>
                <c:pt idx="180">
                  <c:v>39.4</c:v>
                </c:pt>
                <c:pt idx="181">
                  <c:v>39.6</c:v>
                </c:pt>
                <c:pt idx="182">
                  <c:v>39.799999999999997</c:v>
                </c:pt>
                <c:pt idx="183">
                  <c:v>40</c:v>
                </c:pt>
                <c:pt idx="184">
                  <c:v>40.200000000000003</c:v>
                </c:pt>
                <c:pt idx="185">
                  <c:v>40.4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41</c:v>
                </c:pt>
                <c:pt idx="189">
                  <c:v>41.2</c:v>
                </c:pt>
                <c:pt idx="190">
                  <c:v>41.4</c:v>
                </c:pt>
                <c:pt idx="191">
                  <c:v>41.6</c:v>
                </c:pt>
                <c:pt idx="192">
                  <c:v>41.8</c:v>
                </c:pt>
                <c:pt idx="193">
                  <c:v>42</c:v>
                </c:pt>
                <c:pt idx="194">
                  <c:v>42.2</c:v>
                </c:pt>
                <c:pt idx="195">
                  <c:v>42.4</c:v>
                </c:pt>
                <c:pt idx="196">
                  <c:v>42.6</c:v>
                </c:pt>
                <c:pt idx="197">
                  <c:v>42.8</c:v>
                </c:pt>
                <c:pt idx="198">
                  <c:v>43</c:v>
                </c:pt>
                <c:pt idx="199">
                  <c:v>43.2</c:v>
                </c:pt>
                <c:pt idx="200">
                  <c:v>43.4</c:v>
                </c:pt>
                <c:pt idx="201">
                  <c:v>43.6</c:v>
                </c:pt>
                <c:pt idx="202">
                  <c:v>43.8</c:v>
                </c:pt>
                <c:pt idx="203">
                  <c:v>45.3</c:v>
                </c:pt>
                <c:pt idx="204">
                  <c:v>45.5</c:v>
                </c:pt>
                <c:pt idx="205">
                  <c:v>45.7</c:v>
                </c:pt>
                <c:pt idx="206">
                  <c:v>45.9</c:v>
                </c:pt>
                <c:pt idx="207">
                  <c:v>46.1</c:v>
                </c:pt>
                <c:pt idx="208">
                  <c:v>46.3</c:v>
                </c:pt>
                <c:pt idx="209">
                  <c:v>46.5</c:v>
                </c:pt>
                <c:pt idx="210">
                  <c:v>46.7</c:v>
                </c:pt>
                <c:pt idx="211">
                  <c:v>46.9</c:v>
                </c:pt>
                <c:pt idx="212">
                  <c:v>47.1</c:v>
                </c:pt>
                <c:pt idx="213">
                  <c:v>47.3</c:v>
                </c:pt>
                <c:pt idx="214">
                  <c:v>47.5</c:v>
                </c:pt>
                <c:pt idx="215">
                  <c:v>47.7</c:v>
                </c:pt>
                <c:pt idx="216">
                  <c:v>47.9</c:v>
                </c:pt>
                <c:pt idx="217">
                  <c:v>48.1</c:v>
                </c:pt>
                <c:pt idx="218">
                  <c:v>48.3</c:v>
                </c:pt>
                <c:pt idx="219">
                  <c:v>48.5</c:v>
                </c:pt>
                <c:pt idx="220">
                  <c:v>48.7</c:v>
                </c:pt>
                <c:pt idx="221">
                  <c:v>48.9</c:v>
                </c:pt>
                <c:pt idx="222">
                  <c:v>49.1</c:v>
                </c:pt>
                <c:pt idx="223">
                  <c:v>49.3</c:v>
                </c:pt>
                <c:pt idx="224">
                  <c:v>49.5</c:v>
                </c:pt>
                <c:pt idx="225">
                  <c:v>49.7</c:v>
                </c:pt>
                <c:pt idx="226">
                  <c:v>49.9</c:v>
                </c:pt>
                <c:pt idx="227">
                  <c:v>50.1</c:v>
                </c:pt>
                <c:pt idx="228">
                  <c:v>50.3</c:v>
                </c:pt>
                <c:pt idx="229">
                  <c:v>50.5</c:v>
                </c:pt>
                <c:pt idx="230">
                  <c:v>50.7</c:v>
                </c:pt>
                <c:pt idx="231">
                  <c:v>50.9</c:v>
                </c:pt>
                <c:pt idx="232">
                  <c:v>51.1</c:v>
                </c:pt>
                <c:pt idx="233">
                  <c:v>51.3</c:v>
                </c:pt>
                <c:pt idx="234">
                  <c:v>51.5</c:v>
                </c:pt>
                <c:pt idx="235">
                  <c:v>51.7</c:v>
                </c:pt>
                <c:pt idx="236">
                  <c:v>51.9</c:v>
                </c:pt>
              </c:numCache>
            </c:numRef>
          </c:cat>
          <c:val>
            <c:numRef>
              <c:f>Kalkulationen!$G$4:$G$240</c:f>
              <c:numCache>
                <c:formatCode>General</c:formatCode>
                <c:ptCount val="237"/>
                <c:pt idx="0">
                  <c:v>0</c:v>
                </c:pt>
                <c:pt idx="1">
                  <c:v>-0.24000000000000909</c:v>
                </c:pt>
                <c:pt idx="2">
                  <c:v>-7.00000000000216E-2</c:v>
                </c:pt>
                <c:pt idx="3">
                  <c:v>-5.0000000000011369E-2</c:v>
                </c:pt>
                <c:pt idx="4">
                  <c:v>-0.15000000000000568</c:v>
                </c:pt>
                <c:pt idx="5">
                  <c:v>-0.65000000000000568</c:v>
                </c:pt>
                <c:pt idx="6">
                  <c:v>-0.35000000000002274</c:v>
                </c:pt>
                <c:pt idx="7">
                  <c:v>-0.26000000000001933</c:v>
                </c:pt>
                <c:pt idx="8">
                  <c:v>0.23999999999998067</c:v>
                </c:pt>
                <c:pt idx="9">
                  <c:v>2.9999999999972715E-2</c:v>
                </c:pt>
                <c:pt idx="10">
                  <c:v>0.14999999999997726</c:v>
                </c:pt>
                <c:pt idx="11">
                  <c:v>-0.10000000000002274</c:v>
                </c:pt>
                <c:pt idx="12">
                  <c:v>-6.0000000000002274E-2</c:v>
                </c:pt>
                <c:pt idx="13">
                  <c:v>-0.13000000000002387</c:v>
                </c:pt>
                <c:pt idx="14">
                  <c:v>0.1799999999999784</c:v>
                </c:pt>
                <c:pt idx="15">
                  <c:v>-0.44000000000002615</c:v>
                </c:pt>
                <c:pt idx="16">
                  <c:v>-0.15000000000000568</c:v>
                </c:pt>
                <c:pt idx="17">
                  <c:v>9.9999999999994316E-2</c:v>
                </c:pt>
                <c:pt idx="18">
                  <c:v>0.18999999999999773</c:v>
                </c:pt>
                <c:pt idx="19">
                  <c:v>0.10999999999998522</c:v>
                </c:pt>
                <c:pt idx="20">
                  <c:v>7.9999999999984084E-2</c:v>
                </c:pt>
                <c:pt idx="21">
                  <c:v>7.9999999999984084E-2</c:v>
                </c:pt>
                <c:pt idx="22">
                  <c:v>0.18999999999999773</c:v>
                </c:pt>
                <c:pt idx="23">
                  <c:v>-0.13000000000002387</c:v>
                </c:pt>
                <c:pt idx="24">
                  <c:v>-0.83000000000001251</c:v>
                </c:pt>
                <c:pt idx="25">
                  <c:v>-1.0400000000000205</c:v>
                </c:pt>
                <c:pt idx="26">
                  <c:v>-0.19000000000002615</c:v>
                </c:pt>
                <c:pt idx="27">
                  <c:v>0.1799999999999784</c:v>
                </c:pt>
                <c:pt idx="28">
                  <c:v>0.14999999999997726</c:v>
                </c:pt>
                <c:pt idx="29">
                  <c:v>5.9999999999973852E-2</c:v>
                </c:pt>
                <c:pt idx="30">
                  <c:v>-0.47000000000002728</c:v>
                </c:pt>
                <c:pt idx="31">
                  <c:v>8.9999999999974989E-2</c:v>
                </c:pt>
                <c:pt idx="32">
                  <c:v>-0.25</c:v>
                </c:pt>
                <c:pt idx="33">
                  <c:v>0.36999999999997613</c:v>
                </c:pt>
                <c:pt idx="34">
                  <c:v>0.69999999999998863</c:v>
                </c:pt>
                <c:pt idx="35">
                  <c:v>0.11999999999997613</c:v>
                </c:pt>
                <c:pt idx="36">
                  <c:v>0.16999999999998749</c:v>
                </c:pt>
                <c:pt idx="37">
                  <c:v>-0.10000000000002274</c:v>
                </c:pt>
                <c:pt idx="38">
                  <c:v>-9.0000000000003411E-2</c:v>
                </c:pt>
                <c:pt idx="39">
                  <c:v>0.16999999999998749</c:v>
                </c:pt>
                <c:pt idx="40">
                  <c:v>0.27999999999997272</c:v>
                </c:pt>
                <c:pt idx="41">
                  <c:v>-0.20000000000001705</c:v>
                </c:pt>
                <c:pt idx="42">
                  <c:v>0.32999999999998408</c:v>
                </c:pt>
                <c:pt idx="43">
                  <c:v>2.9999999999972715E-2</c:v>
                </c:pt>
                <c:pt idx="44">
                  <c:v>0.75</c:v>
                </c:pt>
                <c:pt idx="45">
                  <c:v>-5.0000000000011369E-2</c:v>
                </c:pt>
                <c:pt idx="46">
                  <c:v>-1.9000000000000057</c:v>
                </c:pt>
                <c:pt idx="47">
                  <c:v>-2.8500000000000227</c:v>
                </c:pt>
                <c:pt idx="48">
                  <c:v>-4.6200000000000045</c:v>
                </c:pt>
                <c:pt idx="49">
                  <c:v>-0.5</c:v>
                </c:pt>
                <c:pt idx="50">
                  <c:v>-4.9300000000000068</c:v>
                </c:pt>
                <c:pt idx="51">
                  <c:v>-10.890000000000015</c:v>
                </c:pt>
                <c:pt idx="52">
                  <c:v>-11.230000000000018</c:v>
                </c:pt>
                <c:pt idx="53">
                  <c:v>-14.340000000000003</c:v>
                </c:pt>
                <c:pt idx="54">
                  <c:v>-17.700000000000017</c:v>
                </c:pt>
                <c:pt idx="55">
                  <c:v>-22.070000000000022</c:v>
                </c:pt>
                <c:pt idx="56">
                  <c:v>-25.79000000000002</c:v>
                </c:pt>
                <c:pt idx="57">
                  <c:v>-30.180000000000007</c:v>
                </c:pt>
                <c:pt idx="58">
                  <c:v>-31.920000000000016</c:v>
                </c:pt>
                <c:pt idx="59">
                  <c:v>-34.560000000000016</c:v>
                </c:pt>
                <c:pt idx="60">
                  <c:v>-40.060000000000016</c:v>
                </c:pt>
                <c:pt idx="61">
                  <c:v>-39.510000000000019</c:v>
                </c:pt>
                <c:pt idx="62">
                  <c:v>-43.640000000000015</c:v>
                </c:pt>
                <c:pt idx="63">
                  <c:v>-42.27000000000001</c:v>
                </c:pt>
                <c:pt idx="64">
                  <c:v>-40.780000000000015</c:v>
                </c:pt>
                <c:pt idx="65">
                  <c:v>-43.02000000000001</c:v>
                </c:pt>
                <c:pt idx="66">
                  <c:v>-43.480000000000018</c:v>
                </c:pt>
                <c:pt idx="67">
                  <c:v>-47.620000000000019</c:v>
                </c:pt>
                <c:pt idx="68">
                  <c:v>-48.100000000000009</c:v>
                </c:pt>
                <c:pt idx="69">
                  <c:v>-50.500000000000014</c:v>
                </c:pt>
                <c:pt idx="70">
                  <c:v>-50.280000000000015</c:v>
                </c:pt>
                <c:pt idx="71">
                  <c:v>-49.280000000000015</c:v>
                </c:pt>
                <c:pt idx="72">
                  <c:v>-52.690000000000012</c:v>
                </c:pt>
                <c:pt idx="73">
                  <c:v>-50.890000000000015</c:v>
                </c:pt>
                <c:pt idx="74">
                  <c:v>-53.180000000000007</c:v>
                </c:pt>
                <c:pt idx="75">
                  <c:v>-49.100000000000009</c:v>
                </c:pt>
                <c:pt idx="76">
                  <c:v>-49.760000000000019</c:v>
                </c:pt>
                <c:pt idx="77">
                  <c:v>-47.430000000000007</c:v>
                </c:pt>
                <c:pt idx="78">
                  <c:v>-44.050000000000011</c:v>
                </c:pt>
                <c:pt idx="79">
                  <c:v>-40.02000000000001</c:v>
                </c:pt>
                <c:pt idx="80">
                  <c:v>-34.250000000000014</c:v>
                </c:pt>
                <c:pt idx="81">
                  <c:v>-31.480000000000018</c:v>
                </c:pt>
                <c:pt idx="82">
                  <c:v>-16.700000000000017</c:v>
                </c:pt>
                <c:pt idx="83">
                  <c:v>-33.77000000000001</c:v>
                </c:pt>
                <c:pt idx="84">
                  <c:v>-34.90000000000002</c:v>
                </c:pt>
                <c:pt idx="85">
                  <c:v>-36.460000000000008</c:v>
                </c:pt>
                <c:pt idx="86">
                  <c:v>-37.220000000000013</c:v>
                </c:pt>
                <c:pt idx="87">
                  <c:v>-37.550000000000011</c:v>
                </c:pt>
                <c:pt idx="88">
                  <c:v>-38.210000000000008</c:v>
                </c:pt>
                <c:pt idx="89">
                  <c:v>-38.810000000000016</c:v>
                </c:pt>
                <c:pt idx="90">
                  <c:v>-39.090000000000018</c:v>
                </c:pt>
                <c:pt idx="91">
                  <c:v>-39.280000000000015</c:v>
                </c:pt>
                <c:pt idx="92">
                  <c:v>-39.240000000000009</c:v>
                </c:pt>
                <c:pt idx="93">
                  <c:v>-39.390000000000015</c:v>
                </c:pt>
                <c:pt idx="94">
                  <c:v>-38.830000000000013</c:v>
                </c:pt>
                <c:pt idx="95">
                  <c:v>-38.65000000000002</c:v>
                </c:pt>
                <c:pt idx="96">
                  <c:v>-38.390000000000015</c:v>
                </c:pt>
                <c:pt idx="97">
                  <c:v>-38.210000000000008</c:v>
                </c:pt>
                <c:pt idx="98">
                  <c:v>-38.180000000000007</c:v>
                </c:pt>
                <c:pt idx="99">
                  <c:v>-37.830000000000013</c:v>
                </c:pt>
                <c:pt idx="100">
                  <c:v>-38.410000000000011</c:v>
                </c:pt>
                <c:pt idx="101">
                  <c:v>-38.660000000000011</c:v>
                </c:pt>
                <c:pt idx="102">
                  <c:v>-39.100000000000009</c:v>
                </c:pt>
                <c:pt idx="103">
                  <c:v>-39.710000000000008</c:v>
                </c:pt>
                <c:pt idx="104">
                  <c:v>-40.080000000000013</c:v>
                </c:pt>
                <c:pt idx="105">
                  <c:v>-39.850000000000009</c:v>
                </c:pt>
                <c:pt idx="106">
                  <c:v>-40.15000000000002</c:v>
                </c:pt>
                <c:pt idx="107">
                  <c:v>-39.830000000000013</c:v>
                </c:pt>
                <c:pt idx="108">
                  <c:v>-39.250000000000014</c:v>
                </c:pt>
                <c:pt idx="109">
                  <c:v>-38.79000000000002</c:v>
                </c:pt>
                <c:pt idx="110">
                  <c:v>-38.200000000000017</c:v>
                </c:pt>
                <c:pt idx="111">
                  <c:v>-37.90000000000002</c:v>
                </c:pt>
                <c:pt idx="112">
                  <c:v>-37.740000000000009</c:v>
                </c:pt>
                <c:pt idx="113">
                  <c:v>-37.930000000000007</c:v>
                </c:pt>
                <c:pt idx="114">
                  <c:v>-37.890000000000015</c:v>
                </c:pt>
                <c:pt idx="115">
                  <c:v>-38.390000000000015</c:v>
                </c:pt>
                <c:pt idx="116">
                  <c:v>-39.000000000000014</c:v>
                </c:pt>
                <c:pt idx="117">
                  <c:v>-39.720000000000013</c:v>
                </c:pt>
                <c:pt idx="118">
                  <c:v>-40.050000000000011</c:v>
                </c:pt>
                <c:pt idx="119">
                  <c:v>-40.580000000000013</c:v>
                </c:pt>
                <c:pt idx="120">
                  <c:v>-41.38000000000001</c:v>
                </c:pt>
                <c:pt idx="121">
                  <c:v>-41.610000000000014</c:v>
                </c:pt>
                <c:pt idx="122">
                  <c:v>-42.190000000000012</c:v>
                </c:pt>
                <c:pt idx="123">
                  <c:v>-41.980000000000018</c:v>
                </c:pt>
                <c:pt idx="124">
                  <c:v>-41.90000000000002</c:v>
                </c:pt>
                <c:pt idx="125">
                  <c:v>-41.740000000000009</c:v>
                </c:pt>
                <c:pt idx="126">
                  <c:v>-41.230000000000018</c:v>
                </c:pt>
                <c:pt idx="127">
                  <c:v>-41.370000000000019</c:v>
                </c:pt>
                <c:pt idx="128">
                  <c:v>-40.79000000000002</c:v>
                </c:pt>
                <c:pt idx="129">
                  <c:v>-40.860000000000014</c:v>
                </c:pt>
                <c:pt idx="130">
                  <c:v>-40.060000000000016</c:v>
                </c:pt>
                <c:pt idx="131">
                  <c:v>-39.620000000000019</c:v>
                </c:pt>
                <c:pt idx="132">
                  <c:v>-39.060000000000016</c:v>
                </c:pt>
                <c:pt idx="133">
                  <c:v>-39.080000000000013</c:v>
                </c:pt>
                <c:pt idx="134">
                  <c:v>-38.740000000000009</c:v>
                </c:pt>
                <c:pt idx="135">
                  <c:v>-38.260000000000019</c:v>
                </c:pt>
                <c:pt idx="136">
                  <c:v>-37.860000000000014</c:v>
                </c:pt>
                <c:pt idx="137">
                  <c:v>-37.980000000000018</c:v>
                </c:pt>
                <c:pt idx="138">
                  <c:v>-38.330000000000013</c:v>
                </c:pt>
                <c:pt idx="139">
                  <c:v>-37.980000000000018</c:v>
                </c:pt>
                <c:pt idx="140">
                  <c:v>-38.04000000000002</c:v>
                </c:pt>
                <c:pt idx="141">
                  <c:v>-38.260000000000019</c:v>
                </c:pt>
                <c:pt idx="142">
                  <c:v>-39.080000000000013</c:v>
                </c:pt>
                <c:pt idx="143">
                  <c:v>-38.910000000000011</c:v>
                </c:pt>
                <c:pt idx="144">
                  <c:v>-39.090000000000018</c:v>
                </c:pt>
                <c:pt idx="145">
                  <c:v>-39.030000000000015</c:v>
                </c:pt>
                <c:pt idx="146">
                  <c:v>-38.980000000000018</c:v>
                </c:pt>
                <c:pt idx="147">
                  <c:v>-38.450000000000017</c:v>
                </c:pt>
                <c:pt idx="148">
                  <c:v>-38.490000000000009</c:v>
                </c:pt>
                <c:pt idx="149">
                  <c:v>-38.830000000000013</c:v>
                </c:pt>
                <c:pt idx="150">
                  <c:v>-38.840000000000018</c:v>
                </c:pt>
                <c:pt idx="151">
                  <c:v>-39.070000000000007</c:v>
                </c:pt>
                <c:pt idx="152">
                  <c:v>-38.570000000000007</c:v>
                </c:pt>
                <c:pt idx="153">
                  <c:v>-39.070000000000007</c:v>
                </c:pt>
                <c:pt idx="154">
                  <c:v>-38.800000000000011</c:v>
                </c:pt>
                <c:pt idx="155">
                  <c:v>-39.15000000000002</c:v>
                </c:pt>
                <c:pt idx="156">
                  <c:v>-39.050000000000011</c:v>
                </c:pt>
                <c:pt idx="157">
                  <c:v>-39.440000000000012</c:v>
                </c:pt>
                <c:pt idx="158">
                  <c:v>-38.690000000000012</c:v>
                </c:pt>
                <c:pt idx="159">
                  <c:v>-38.950000000000017</c:v>
                </c:pt>
                <c:pt idx="160">
                  <c:v>-38.820000000000007</c:v>
                </c:pt>
                <c:pt idx="161">
                  <c:v>-38.640000000000015</c:v>
                </c:pt>
                <c:pt idx="162">
                  <c:v>-38.350000000000009</c:v>
                </c:pt>
                <c:pt idx="163">
                  <c:v>-38.210000000000008</c:v>
                </c:pt>
                <c:pt idx="164">
                  <c:v>-38.480000000000018</c:v>
                </c:pt>
                <c:pt idx="165">
                  <c:v>-38.320000000000007</c:v>
                </c:pt>
                <c:pt idx="166">
                  <c:v>-38.470000000000013</c:v>
                </c:pt>
                <c:pt idx="167">
                  <c:v>-38.510000000000019</c:v>
                </c:pt>
                <c:pt idx="168">
                  <c:v>-38.38000000000001</c:v>
                </c:pt>
                <c:pt idx="169">
                  <c:v>-38.410000000000011</c:v>
                </c:pt>
                <c:pt idx="170">
                  <c:v>-38.690000000000012</c:v>
                </c:pt>
                <c:pt idx="171">
                  <c:v>-38.52000000000001</c:v>
                </c:pt>
                <c:pt idx="172">
                  <c:v>-38.280000000000015</c:v>
                </c:pt>
                <c:pt idx="173">
                  <c:v>-38.04000000000002</c:v>
                </c:pt>
                <c:pt idx="174">
                  <c:v>-38.310000000000016</c:v>
                </c:pt>
                <c:pt idx="175">
                  <c:v>-38.950000000000017</c:v>
                </c:pt>
                <c:pt idx="176">
                  <c:v>-38.360000000000014</c:v>
                </c:pt>
                <c:pt idx="177">
                  <c:v>-38.030000000000015</c:v>
                </c:pt>
                <c:pt idx="178">
                  <c:v>-38.280000000000015</c:v>
                </c:pt>
                <c:pt idx="179">
                  <c:v>-38.13000000000001</c:v>
                </c:pt>
                <c:pt idx="180">
                  <c:v>-37.860000000000014</c:v>
                </c:pt>
                <c:pt idx="181">
                  <c:v>-38.080000000000013</c:v>
                </c:pt>
                <c:pt idx="182">
                  <c:v>-38.460000000000008</c:v>
                </c:pt>
                <c:pt idx="183">
                  <c:v>-38.280000000000015</c:v>
                </c:pt>
                <c:pt idx="184">
                  <c:v>-37.970000000000013</c:v>
                </c:pt>
                <c:pt idx="185">
                  <c:v>-38.120000000000019</c:v>
                </c:pt>
                <c:pt idx="186">
                  <c:v>-38.190000000000012</c:v>
                </c:pt>
                <c:pt idx="187">
                  <c:v>-37.65000000000002</c:v>
                </c:pt>
                <c:pt idx="188">
                  <c:v>-37.88000000000001</c:v>
                </c:pt>
                <c:pt idx="189">
                  <c:v>-38.240000000000009</c:v>
                </c:pt>
                <c:pt idx="190">
                  <c:v>-38.100000000000009</c:v>
                </c:pt>
                <c:pt idx="191">
                  <c:v>-38.190000000000012</c:v>
                </c:pt>
                <c:pt idx="192">
                  <c:v>-37.77000000000001</c:v>
                </c:pt>
                <c:pt idx="193">
                  <c:v>-38.02000000000001</c:v>
                </c:pt>
                <c:pt idx="194">
                  <c:v>-37.930000000000007</c:v>
                </c:pt>
                <c:pt idx="195">
                  <c:v>-38.320000000000007</c:v>
                </c:pt>
                <c:pt idx="196">
                  <c:v>-38.670000000000016</c:v>
                </c:pt>
                <c:pt idx="197">
                  <c:v>-38.190000000000012</c:v>
                </c:pt>
                <c:pt idx="198">
                  <c:v>-38.110000000000014</c:v>
                </c:pt>
                <c:pt idx="199">
                  <c:v>-37.990000000000009</c:v>
                </c:pt>
                <c:pt idx="200">
                  <c:v>-38.160000000000011</c:v>
                </c:pt>
                <c:pt idx="201">
                  <c:v>-38.660000000000011</c:v>
                </c:pt>
                <c:pt idx="202">
                  <c:v>-38.310000000000016</c:v>
                </c:pt>
                <c:pt idx="203">
                  <c:v>-39.300000000000011</c:v>
                </c:pt>
                <c:pt idx="204">
                  <c:v>-38.720000000000013</c:v>
                </c:pt>
                <c:pt idx="205">
                  <c:v>-39.13000000000001</c:v>
                </c:pt>
                <c:pt idx="206">
                  <c:v>-38.720000000000013</c:v>
                </c:pt>
                <c:pt idx="207">
                  <c:v>-38.840000000000018</c:v>
                </c:pt>
                <c:pt idx="208">
                  <c:v>-39.04000000000002</c:v>
                </c:pt>
                <c:pt idx="209">
                  <c:v>-39.420000000000016</c:v>
                </c:pt>
                <c:pt idx="210">
                  <c:v>-39.180000000000007</c:v>
                </c:pt>
                <c:pt idx="211">
                  <c:v>-38.450000000000017</c:v>
                </c:pt>
                <c:pt idx="212">
                  <c:v>-39.330000000000013</c:v>
                </c:pt>
                <c:pt idx="213">
                  <c:v>-39.500000000000014</c:v>
                </c:pt>
                <c:pt idx="214">
                  <c:v>-38.890000000000015</c:v>
                </c:pt>
                <c:pt idx="215">
                  <c:v>-39.170000000000016</c:v>
                </c:pt>
                <c:pt idx="216">
                  <c:v>-38.730000000000018</c:v>
                </c:pt>
                <c:pt idx="217">
                  <c:v>-39.010000000000019</c:v>
                </c:pt>
                <c:pt idx="218">
                  <c:v>-38.730000000000018</c:v>
                </c:pt>
                <c:pt idx="219">
                  <c:v>-38.740000000000009</c:v>
                </c:pt>
                <c:pt idx="220">
                  <c:v>-38.620000000000019</c:v>
                </c:pt>
                <c:pt idx="221">
                  <c:v>-38.430000000000007</c:v>
                </c:pt>
                <c:pt idx="222">
                  <c:v>-38.760000000000019</c:v>
                </c:pt>
                <c:pt idx="223">
                  <c:v>-38.190000000000012</c:v>
                </c:pt>
                <c:pt idx="224">
                  <c:v>-38.410000000000011</c:v>
                </c:pt>
                <c:pt idx="225">
                  <c:v>-38.640000000000015</c:v>
                </c:pt>
                <c:pt idx="226">
                  <c:v>-38.280000000000015</c:v>
                </c:pt>
                <c:pt idx="227">
                  <c:v>-38.410000000000011</c:v>
                </c:pt>
                <c:pt idx="228">
                  <c:v>-38.450000000000017</c:v>
                </c:pt>
                <c:pt idx="229">
                  <c:v>-38.620000000000019</c:v>
                </c:pt>
                <c:pt idx="230">
                  <c:v>-38.54000000000002</c:v>
                </c:pt>
                <c:pt idx="231">
                  <c:v>-38.820000000000007</c:v>
                </c:pt>
                <c:pt idx="232">
                  <c:v>-38.590000000000018</c:v>
                </c:pt>
                <c:pt idx="233">
                  <c:v>-38.510000000000019</c:v>
                </c:pt>
                <c:pt idx="234">
                  <c:v>-38.530000000000015</c:v>
                </c:pt>
                <c:pt idx="235">
                  <c:v>-38.450000000000017</c:v>
                </c:pt>
                <c:pt idx="236">
                  <c:v>-39.090000000000018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2-46E9-B5D2-C9F03A2814A7}"/>
            </c:ext>
          </c:extLst>
        </c:ser>
        <c:ser>
          <c:idx val="1"/>
          <c:order val="1"/>
          <c:tx>
            <c:strRef>
              <c:f>Kalkulationen!$H$3</c:f>
              <c:strCache>
                <c:ptCount val="1"/>
                <c:pt idx="0">
                  <c:v>R2_VA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Kalkulationen!$B$4:$B$240</c:f>
              <c:numCache>
                <c:formatCode>General</c:formatCode>
                <c:ptCount val="23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12.2</c:v>
                </c:pt>
                <c:pt idx="60">
                  <c:v>12.4</c:v>
                </c:pt>
                <c:pt idx="61">
                  <c:v>12.6</c:v>
                </c:pt>
                <c:pt idx="62">
                  <c:v>12.8</c:v>
                </c:pt>
                <c:pt idx="63">
                  <c:v>13</c:v>
                </c:pt>
                <c:pt idx="64">
                  <c:v>13.2</c:v>
                </c:pt>
                <c:pt idx="65">
                  <c:v>13.4</c:v>
                </c:pt>
                <c:pt idx="66">
                  <c:v>13.6</c:v>
                </c:pt>
                <c:pt idx="67">
                  <c:v>13.8</c:v>
                </c:pt>
                <c:pt idx="68">
                  <c:v>14</c:v>
                </c:pt>
                <c:pt idx="69">
                  <c:v>14.2</c:v>
                </c:pt>
                <c:pt idx="70">
                  <c:v>14.4</c:v>
                </c:pt>
                <c:pt idx="71">
                  <c:v>14.6</c:v>
                </c:pt>
                <c:pt idx="72">
                  <c:v>14.8</c:v>
                </c:pt>
                <c:pt idx="73">
                  <c:v>15</c:v>
                </c:pt>
                <c:pt idx="74">
                  <c:v>15.2</c:v>
                </c:pt>
                <c:pt idx="75">
                  <c:v>15.4</c:v>
                </c:pt>
                <c:pt idx="76">
                  <c:v>15.6</c:v>
                </c:pt>
                <c:pt idx="77">
                  <c:v>15.8</c:v>
                </c:pt>
                <c:pt idx="78">
                  <c:v>16</c:v>
                </c:pt>
                <c:pt idx="79">
                  <c:v>16.2</c:v>
                </c:pt>
                <c:pt idx="80">
                  <c:v>16.399999999999999</c:v>
                </c:pt>
                <c:pt idx="81">
                  <c:v>16.600000000000001</c:v>
                </c:pt>
                <c:pt idx="82">
                  <c:v>18</c:v>
                </c:pt>
                <c:pt idx="83">
                  <c:v>20</c:v>
                </c:pt>
                <c:pt idx="84">
                  <c:v>20.2</c:v>
                </c:pt>
                <c:pt idx="85">
                  <c:v>20.399999999999999</c:v>
                </c:pt>
                <c:pt idx="86">
                  <c:v>20.6</c:v>
                </c:pt>
                <c:pt idx="87">
                  <c:v>20.8</c:v>
                </c:pt>
                <c:pt idx="88">
                  <c:v>21</c:v>
                </c:pt>
                <c:pt idx="89">
                  <c:v>21.2</c:v>
                </c:pt>
                <c:pt idx="90">
                  <c:v>21.4</c:v>
                </c:pt>
                <c:pt idx="91">
                  <c:v>21.6</c:v>
                </c:pt>
                <c:pt idx="92">
                  <c:v>21.8</c:v>
                </c:pt>
                <c:pt idx="93">
                  <c:v>22</c:v>
                </c:pt>
                <c:pt idx="94">
                  <c:v>22.2</c:v>
                </c:pt>
                <c:pt idx="95">
                  <c:v>22.4</c:v>
                </c:pt>
                <c:pt idx="96">
                  <c:v>22.6</c:v>
                </c:pt>
                <c:pt idx="97">
                  <c:v>22.8</c:v>
                </c:pt>
                <c:pt idx="98">
                  <c:v>23</c:v>
                </c:pt>
                <c:pt idx="99">
                  <c:v>23.2</c:v>
                </c:pt>
                <c:pt idx="100">
                  <c:v>23.4</c:v>
                </c:pt>
                <c:pt idx="101">
                  <c:v>23.6</c:v>
                </c:pt>
                <c:pt idx="102">
                  <c:v>23.8</c:v>
                </c:pt>
                <c:pt idx="103">
                  <c:v>24</c:v>
                </c:pt>
                <c:pt idx="104">
                  <c:v>24.2</c:v>
                </c:pt>
                <c:pt idx="105">
                  <c:v>24.4</c:v>
                </c:pt>
                <c:pt idx="106">
                  <c:v>24.6</c:v>
                </c:pt>
                <c:pt idx="107">
                  <c:v>24.8</c:v>
                </c:pt>
                <c:pt idx="108">
                  <c:v>25</c:v>
                </c:pt>
                <c:pt idx="109">
                  <c:v>25.2</c:v>
                </c:pt>
                <c:pt idx="110">
                  <c:v>25.4</c:v>
                </c:pt>
                <c:pt idx="111">
                  <c:v>25.6</c:v>
                </c:pt>
                <c:pt idx="112">
                  <c:v>25.8</c:v>
                </c:pt>
                <c:pt idx="113">
                  <c:v>26</c:v>
                </c:pt>
                <c:pt idx="114">
                  <c:v>26.2</c:v>
                </c:pt>
                <c:pt idx="115">
                  <c:v>26.4</c:v>
                </c:pt>
                <c:pt idx="116">
                  <c:v>26.6</c:v>
                </c:pt>
                <c:pt idx="117">
                  <c:v>26.8</c:v>
                </c:pt>
                <c:pt idx="118">
                  <c:v>27</c:v>
                </c:pt>
                <c:pt idx="119">
                  <c:v>27.2</c:v>
                </c:pt>
                <c:pt idx="120">
                  <c:v>27.4</c:v>
                </c:pt>
                <c:pt idx="121">
                  <c:v>27.6</c:v>
                </c:pt>
                <c:pt idx="122">
                  <c:v>27.8</c:v>
                </c:pt>
                <c:pt idx="123">
                  <c:v>28</c:v>
                </c:pt>
                <c:pt idx="124">
                  <c:v>28.2</c:v>
                </c:pt>
                <c:pt idx="125">
                  <c:v>28.4</c:v>
                </c:pt>
                <c:pt idx="126">
                  <c:v>28.6</c:v>
                </c:pt>
                <c:pt idx="127">
                  <c:v>28.8</c:v>
                </c:pt>
                <c:pt idx="128">
                  <c:v>29</c:v>
                </c:pt>
                <c:pt idx="129">
                  <c:v>29.2</c:v>
                </c:pt>
                <c:pt idx="130">
                  <c:v>29.4</c:v>
                </c:pt>
                <c:pt idx="131">
                  <c:v>29.6</c:v>
                </c:pt>
                <c:pt idx="132">
                  <c:v>29.8</c:v>
                </c:pt>
                <c:pt idx="133">
                  <c:v>30</c:v>
                </c:pt>
                <c:pt idx="134">
                  <c:v>30.2</c:v>
                </c:pt>
                <c:pt idx="135">
                  <c:v>30.4</c:v>
                </c:pt>
                <c:pt idx="136">
                  <c:v>30.6</c:v>
                </c:pt>
                <c:pt idx="137">
                  <c:v>30.8</c:v>
                </c:pt>
                <c:pt idx="138">
                  <c:v>31</c:v>
                </c:pt>
                <c:pt idx="139">
                  <c:v>31.2</c:v>
                </c:pt>
                <c:pt idx="140">
                  <c:v>31.4</c:v>
                </c:pt>
                <c:pt idx="141">
                  <c:v>31.6</c:v>
                </c:pt>
                <c:pt idx="142">
                  <c:v>31.8</c:v>
                </c:pt>
                <c:pt idx="143">
                  <c:v>32</c:v>
                </c:pt>
                <c:pt idx="144">
                  <c:v>32.200000000000003</c:v>
                </c:pt>
                <c:pt idx="145">
                  <c:v>32.4</c:v>
                </c:pt>
                <c:pt idx="146">
                  <c:v>32.6</c:v>
                </c:pt>
                <c:pt idx="147">
                  <c:v>32.799999999999997</c:v>
                </c:pt>
                <c:pt idx="148">
                  <c:v>33</c:v>
                </c:pt>
                <c:pt idx="149">
                  <c:v>33.200000000000003</c:v>
                </c:pt>
                <c:pt idx="150">
                  <c:v>33.4</c:v>
                </c:pt>
                <c:pt idx="151">
                  <c:v>33.6</c:v>
                </c:pt>
                <c:pt idx="152">
                  <c:v>33.799999999999997</c:v>
                </c:pt>
                <c:pt idx="153">
                  <c:v>34</c:v>
                </c:pt>
                <c:pt idx="154">
                  <c:v>34.200000000000003</c:v>
                </c:pt>
                <c:pt idx="155">
                  <c:v>34.4</c:v>
                </c:pt>
                <c:pt idx="156">
                  <c:v>34.6</c:v>
                </c:pt>
                <c:pt idx="157">
                  <c:v>34.799999999999997</c:v>
                </c:pt>
                <c:pt idx="158">
                  <c:v>35</c:v>
                </c:pt>
                <c:pt idx="159">
                  <c:v>35.200000000000003</c:v>
                </c:pt>
                <c:pt idx="160">
                  <c:v>35.4</c:v>
                </c:pt>
                <c:pt idx="161">
                  <c:v>35.6</c:v>
                </c:pt>
                <c:pt idx="162">
                  <c:v>35.799999999999997</c:v>
                </c:pt>
                <c:pt idx="163">
                  <c:v>36</c:v>
                </c:pt>
                <c:pt idx="164">
                  <c:v>36.200000000000003</c:v>
                </c:pt>
                <c:pt idx="165">
                  <c:v>36.4</c:v>
                </c:pt>
                <c:pt idx="166">
                  <c:v>36.6</c:v>
                </c:pt>
                <c:pt idx="167">
                  <c:v>36.799999999999997</c:v>
                </c:pt>
                <c:pt idx="168">
                  <c:v>37</c:v>
                </c:pt>
                <c:pt idx="169">
                  <c:v>37.200000000000003</c:v>
                </c:pt>
                <c:pt idx="170">
                  <c:v>37.4</c:v>
                </c:pt>
                <c:pt idx="171">
                  <c:v>37.6</c:v>
                </c:pt>
                <c:pt idx="172">
                  <c:v>37.799999999999997</c:v>
                </c:pt>
                <c:pt idx="173">
                  <c:v>38</c:v>
                </c:pt>
                <c:pt idx="174">
                  <c:v>38.200000000000003</c:v>
                </c:pt>
                <c:pt idx="175">
                  <c:v>38.4</c:v>
                </c:pt>
                <c:pt idx="176">
                  <c:v>38.6</c:v>
                </c:pt>
                <c:pt idx="177">
                  <c:v>38.799999999999997</c:v>
                </c:pt>
                <c:pt idx="178">
                  <c:v>39</c:v>
                </c:pt>
                <c:pt idx="179">
                  <c:v>39.200000000000003</c:v>
                </c:pt>
                <c:pt idx="180">
                  <c:v>39.4</c:v>
                </c:pt>
                <c:pt idx="181">
                  <c:v>39.6</c:v>
                </c:pt>
                <c:pt idx="182">
                  <c:v>39.799999999999997</c:v>
                </c:pt>
                <c:pt idx="183">
                  <c:v>40</c:v>
                </c:pt>
                <c:pt idx="184">
                  <c:v>40.200000000000003</c:v>
                </c:pt>
                <c:pt idx="185">
                  <c:v>40.4</c:v>
                </c:pt>
                <c:pt idx="186">
                  <c:v>40.6</c:v>
                </c:pt>
                <c:pt idx="187">
                  <c:v>40.799999999999997</c:v>
                </c:pt>
                <c:pt idx="188">
                  <c:v>41</c:v>
                </c:pt>
                <c:pt idx="189">
                  <c:v>41.2</c:v>
                </c:pt>
                <c:pt idx="190">
                  <c:v>41.4</c:v>
                </c:pt>
                <c:pt idx="191">
                  <c:v>41.6</c:v>
                </c:pt>
                <c:pt idx="192">
                  <c:v>41.8</c:v>
                </c:pt>
                <c:pt idx="193">
                  <c:v>42</c:v>
                </c:pt>
                <c:pt idx="194">
                  <c:v>42.2</c:v>
                </c:pt>
                <c:pt idx="195">
                  <c:v>42.4</c:v>
                </c:pt>
                <c:pt idx="196">
                  <c:v>42.6</c:v>
                </c:pt>
                <c:pt idx="197">
                  <c:v>42.8</c:v>
                </c:pt>
                <c:pt idx="198">
                  <c:v>43</c:v>
                </c:pt>
                <c:pt idx="199">
                  <c:v>43.2</c:v>
                </c:pt>
                <c:pt idx="200">
                  <c:v>43.4</c:v>
                </c:pt>
                <c:pt idx="201">
                  <c:v>43.6</c:v>
                </c:pt>
                <c:pt idx="202">
                  <c:v>43.8</c:v>
                </c:pt>
                <c:pt idx="203">
                  <c:v>45.3</c:v>
                </c:pt>
                <c:pt idx="204">
                  <c:v>45.5</c:v>
                </c:pt>
                <c:pt idx="205">
                  <c:v>45.7</c:v>
                </c:pt>
                <c:pt idx="206">
                  <c:v>45.9</c:v>
                </c:pt>
                <c:pt idx="207">
                  <c:v>46.1</c:v>
                </c:pt>
                <c:pt idx="208">
                  <c:v>46.3</c:v>
                </c:pt>
                <c:pt idx="209">
                  <c:v>46.5</c:v>
                </c:pt>
                <c:pt idx="210">
                  <c:v>46.7</c:v>
                </c:pt>
                <c:pt idx="211">
                  <c:v>46.9</c:v>
                </c:pt>
                <c:pt idx="212">
                  <c:v>47.1</c:v>
                </c:pt>
                <c:pt idx="213">
                  <c:v>47.3</c:v>
                </c:pt>
                <c:pt idx="214">
                  <c:v>47.5</c:v>
                </c:pt>
                <c:pt idx="215">
                  <c:v>47.7</c:v>
                </c:pt>
                <c:pt idx="216">
                  <c:v>47.9</c:v>
                </c:pt>
                <c:pt idx="217">
                  <c:v>48.1</c:v>
                </c:pt>
                <c:pt idx="218">
                  <c:v>48.3</c:v>
                </c:pt>
                <c:pt idx="219">
                  <c:v>48.5</c:v>
                </c:pt>
                <c:pt idx="220">
                  <c:v>48.7</c:v>
                </c:pt>
                <c:pt idx="221">
                  <c:v>48.9</c:v>
                </c:pt>
                <c:pt idx="222">
                  <c:v>49.1</c:v>
                </c:pt>
                <c:pt idx="223">
                  <c:v>49.3</c:v>
                </c:pt>
                <c:pt idx="224">
                  <c:v>49.5</c:v>
                </c:pt>
                <c:pt idx="225">
                  <c:v>49.7</c:v>
                </c:pt>
                <c:pt idx="226">
                  <c:v>49.9</c:v>
                </c:pt>
                <c:pt idx="227">
                  <c:v>50.1</c:v>
                </c:pt>
                <c:pt idx="228">
                  <c:v>50.3</c:v>
                </c:pt>
                <c:pt idx="229">
                  <c:v>50.5</c:v>
                </c:pt>
                <c:pt idx="230">
                  <c:v>50.7</c:v>
                </c:pt>
                <c:pt idx="231">
                  <c:v>50.9</c:v>
                </c:pt>
                <c:pt idx="232">
                  <c:v>51.1</c:v>
                </c:pt>
                <c:pt idx="233">
                  <c:v>51.3</c:v>
                </c:pt>
                <c:pt idx="234">
                  <c:v>51.5</c:v>
                </c:pt>
                <c:pt idx="235">
                  <c:v>51.7</c:v>
                </c:pt>
                <c:pt idx="236">
                  <c:v>51.9</c:v>
                </c:pt>
              </c:numCache>
            </c:numRef>
          </c:cat>
          <c:val>
            <c:numRef>
              <c:f>Kalkulationen!$H$4:$H$240</c:f>
              <c:numCache>
                <c:formatCode>General</c:formatCode>
                <c:ptCount val="237"/>
                <c:pt idx="0">
                  <c:v>0</c:v>
                </c:pt>
                <c:pt idx="1">
                  <c:v>-9.9999999999994316E-2</c:v>
                </c:pt>
                <c:pt idx="2">
                  <c:v>-0.15999999999999659</c:v>
                </c:pt>
                <c:pt idx="3">
                  <c:v>-0.16999999999998749</c:v>
                </c:pt>
                <c:pt idx="4">
                  <c:v>-0.48999999999998067</c:v>
                </c:pt>
                <c:pt idx="5">
                  <c:v>-0.40000000000000568</c:v>
                </c:pt>
                <c:pt idx="6">
                  <c:v>-0.34999999999999432</c:v>
                </c:pt>
                <c:pt idx="7">
                  <c:v>-0.16999999999998749</c:v>
                </c:pt>
                <c:pt idx="8">
                  <c:v>-0.31999999999999318</c:v>
                </c:pt>
                <c:pt idx="9">
                  <c:v>-0.29999999999998295</c:v>
                </c:pt>
                <c:pt idx="10">
                  <c:v>-0.19999999999998863</c:v>
                </c:pt>
                <c:pt idx="11">
                  <c:v>-9.9999999999909051E-3</c:v>
                </c:pt>
                <c:pt idx="12">
                  <c:v>-0.12000000000000455</c:v>
                </c:pt>
                <c:pt idx="13">
                  <c:v>-0.12000000000000455</c:v>
                </c:pt>
                <c:pt idx="14">
                  <c:v>-1.1099999999999852</c:v>
                </c:pt>
                <c:pt idx="15">
                  <c:v>1.0000000000019327E-2</c:v>
                </c:pt>
                <c:pt idx="16">
                  <c:v>-0.22999999999998977</c:v>
                </c:pt>
                <c:pt idx="17">
                  <c:v>-9.9999999999994316E-2</c:v>
                </c:pt>
                <c:pt idx="18">
                  <c:v>-0.81000000000000227</c:v>
                </c:pt>
                <c:pt idx="19">
                  <c:v>-0.18999999999999773</c:v>
                </c:pt>
                <c:pt idx="20">
                  <c:v>-0.35999999999998522</c:v>
                </c:pt>
                <c:pt idx="21">
                  <c:v>1.0000000000019327E-2</c:v>
                </c:pt>
                <c:pt idx="22">
                  <c:v>-0.28000000000000114</c:v>
                </c:pt>
                <c:pt idx="23">
                  <c:v>-0.43999999999999773</c:v>
                </c:pt>
                <c:pt idx="24">
                  <c:v>-0.31000000000000227</c:v>
                </c:pt>
                <c:pt idx="25">
                  <c:v>-0.31000000000000227</c:v>
                </c:pt>
                <c:pt idx="26">
                  <c:v>0</c:v>
                </c:pt>
                <c:pt idx="27">
                  <c:v>-0.35999999999998522</c:v>
                </c:pt>
                <c:pt idx="28">
                  <c:v>-0.32999999999998408</c:v>
                </c:pt>
                <c:pt idx="29">
                  <c:v>-0.18999999999999773</c:v>
                </c:pt>
                <c:pt idx="30">
                  <c:v>-0.50999999999999091</c:v>
                </c:pt>
                <c:pt idx="31">
                  <c:v>-0.31999999999999318</c:v>
                </c:pt>
                <c:pt idx="32">
                  <c:v>-0.45999999999997954</c:v>
                </c:pt>
                <c:pt idx="33">
                  <c:v>-9.9999999999909051E-3</c:v>
                </c:pt>
                <c:pt idx="34">
                  <c:v>-9.0000000000003411E-2</c:v>
                </c:pt>
                <c:pt idx="35">
                  <c:v>-0.48999999999998067</c:v>
                </c:pt>
                <c:pt idx="36">
                  <c:v>-0.29999999999998295</c:v>
                </c:pt>
                <c:pt idx="37">
                  <c:v>-0.23999999999998067</c:v>
                </c:pt>
                <c:pt idx="38">
                  <c:v>-3.9999999999992042E-2</c:v>
                </c:pt>
                <c:pt idx="39">
                  <c:v>8.0000000000012506E-2</c:v>
                </c:pt>
                <c:pt idx="40">
                  <c:v>9.9999999999994316E-2</c:v>
                </c:pt>
                <c:pt idx="41">
                  <c:v>-9.9999999999994316E-2</c:v>
                </c:pt>
                <c:pt idx="42">
                  <c:v>5.0000000000011369E-2</c:v>
                </c:pt>
                <c:pt idx="43">
                  <c:v>-0.47999999999998977</c:v>
                </c:pt>
                <c:pt idx="44">
                  <c:v>0.15000000000000568</c:v>
                </c:pt>
                <c:pt idx="45">
                  <c:v>-0.43999999999999773</c:v>
                </c:pt>
                <c:pt idx="46">
                  <c:v>-1.8199999999999932</c:v>
                </c:pt>
                <c:pt idx="47">
                  <c:v>-2.2099999999999795</c:v>
                </c:pt>
                <c:pt idx="48">
                  <c:v>-4.2399999999999807</c:v>
                </c:pt>
                <c:pt idx="49">
                  <c:v>1.9800000000000182</c:v>
                </c:pt>
                <c:pt idx="50">
                  <c:v>2.3700000000000045</c:v>
                </c:pt>
                <c:pt idx="51">
                  <c:v>5.8799999999999955</c:v>
                </c:pt>
                <c:pt idx="52">
                  <c:v>13.560000000000002</c:v>
                </c:pt>
                <c:pt idx="53">
                  <c:v>18.28</c:v>
                </c:pt>
                <c:pt idx="54">
                  <c:v>23.050000000000011</c:v>
                </c:pt>
                <c:pt idx="55">
                  <c:v>25.590000000000003</c:v>
                </c:pt>
                <c:pt idx="56">
                  <c:v>31.430000000000007</c:v>
                </c:pt>
                <c:pt idx="57">
                  <c:v>32.260000000000019</c:v>
                </c:pt>
                <c:pt idx="58">
                  <c:v>37.129999999999995</c:v>
                </c:pt>
                <c:pt idx="59">
                  <c:v>49.510000000000019</c:v>
                </c:pt>
                <c:pt idx="60">
                  <c:v>46.010000000000019</c:v>
                </c:pt>
                <c:pt idx="61">
                  <c:v>49.920000000000016</c:v>
                </c:pt>
                <c:pt idx="62">
                  <c:v>47.879999999999995</c:v>
                </c:pt>
                <c:pt idx="63">
                  <c:v>47.740000000000009</c:v>
                </c:pt>
                <c:pt idx="64">
                  <c:v>53.879999999999995</c:v>
                </c:pt>
                <c:pt idx="65">
                  <c:v>53.990000000000009</c:v>
                </c:pt>
                <c:pt idx="66">
                  <c:v>55</c:v>
                </c:pt>
                <c:pt idx="67">
                  <c:v>54.200000000000017</c:v>
                </c:pt>
                <c:pt idx="68">
                  <c:v>56.129999999999995</c:v>
                </c:pt>
                <c:pt idx="69">
                  <c:v>53.849999999999994</c:v>
                </c:pt>
                <c:pt idx="70">
                  <c:v>56.570000000000022</c:v>
                </c:pt>
                <c:pt idx="71">
                  <c:v>56.920000000000016</c:v>
                </c:pt>
                <c:pt idx="72">
                  <c:v>53.81</c:v>
                </c:pt>
                <c:pt idx="73">
                  <c:v>56.860000000000014</c:v>
                </c:pt>
                <c:pt idx="74">
                  <c:v>53.050000000000011</c:v>
                </c:pt>
                <c:pt idx="75">
                  <c:v>54.920000000000016</c:v>
                </c:pt>
                <c:pt idx="76">
                  <c:v>49.56</c:v>
                </c:pt>
                <c:pt idx="77">
                  <c:v>47.25</c:v>
                </c:pt>
                <c:pt idx="78">
                  <c:v>44.070000000000022</c:v>
                </c:pt>
                <c:pt idx="79">
                  <c:v>37.870000000000005</c:v>
                </c:pt>
                <c:pt idx="80">
                  <c:v>36.420000000000016</c:v>
                </c:pt>
                <c:pt idx="81">
                  <c:v>30.580000000000013</c:v>
                </c:pt>
                <c:pt idx="82">
                  <c:v>10.939999999999998</c:v>
                </c:pt>
                <c:pt idx="83">
                  <c:v>24.260000000000019</c:v>
                </c:pt>
                <c:pt idx="84">
                  <c:v>24.740000000000009</c:v>
                </c:pt>
                <c:pt idx="85">
                  <c:v>25.370000000000005</c:v>
                </c:pt>
                <c:pt idx="86">
                  <c:v>26.53</c:v>
                </c:pt>
                <c:pt idx="87">
                  <c:v>27.129999999999995</c:v>
                </c:pt>
                <c:pt idx="88">
                  <c:v>26.599999999999994</c:v>
                </c:pt>
                <c:pt idx="89">
                  <c:v>26.439999999999998</c:v>
                </c:pt>
                <c:pt idx="90">
                  <c:v>26.53</c:v>
                </c:pt>
                <c:pt idx="91">
                  <c:v>27</c:v>
                </c:pt>
                <c:pt idx="92">
                  <c:v>26.930000000000007</c:v>
                </c:pt>
                <c:pt idx="93">
                  <c:v>27.099999999999994</c:v>
                </c:pt>
                <c:pt idx="94">
                  <c:v>27.320000000000022</c:v>
                </c:pt>
                <c:pt idx="95">
                  <c:v>27.430000000000007</c:v>
                </c:pt>
                <c:pt idx="96">
                  <c:v>28.090000000000003</c:v>
                </c:pt>
                <c:pt idx="97">
                  <c:v>27.580000000000013</c:v>
                </c:pt>
                <c:pt idx="98">
                  <c:v>27.629999999999995</c:v>
                </c:pt>
                <c:pt idx="99">
                  <c:v>28.129999999999995</c:v>
                </c:pt>
                <c:pt idx="100">
                  <c:v>28.180000000000007</c:v>
                </c:pt>
                <c:pt idx="101">
                  <c:v>28.420000000000016</c:v>
                </c:pt>
                <c:pt idx="102">
                  <c:v>28.310000000000002</c:v>
                </c:pt>
                <c:pt idx="103">
                  <c:v>28.379999999999995</c:v>
                </c:pt>
                <c:pt idx="104">
                  <c:v>27.980000000000018</c:v>
                </c:pt>
                <c:pt idx="105">
                  <c:v>28.300000000000011</c:v>
                </c:pt>
                <c:pt idx="106">
                  <c:v>28.340000000000003</c:v>
                </c:pt>
                <c:pt idx="107">
                  <c:v>27.849999999999994</c:v>
                </c:pt>
                <c:pt idx="108">
                  <c:v>27.650000000000006</c:v>
                </c:pt>
                <c:pt idx="109">
                  <c:v>26.909999999999997</c:v>
                </c:pt>
                <c:pt idx="110">
                  <c:v>27.240000000000009</c:v>
                </c:pt>
                <c:pt idx="111">
                  <c:v>27.47</c:v>
                </c:pt>
                <c:pt idx="112">
                  <c:v>27.78</c:v>
                </c:pt>
                <c:pt idx="113">
                  <c:v>27.97</c:v>
                </c:pt>
                <c:pt idx="114">
                  <c:v>28.070000000000022</c:v>
                </c:pt>
                <c:pt idx="115">
                  <c:v>28.360000000000014</c:v>
                </c:pt>
                <c:pt idx="116">
                  <c:v>28.400000000000006</c:v>
                </c:pt>
                <c:pt idx="117">
                  <c:v>28.990000000000009</c:v>
                </c:pt>
                <c:pt idx="118">
                  <c:v>29.240000000000009</c:v>
                </c:pt>
                <c:pt idx="119">
                  <c:v>30.340000000000003</c:v>
                </c:pt>
                <c:pt idx="120">
                  <c:v>30.599999999999994</c:v>
                </c:pt>
                <c:pt idx="121">
                  <c:v>31.629999999999995</c:v>
                </c:pt>
                <c:pt idx="122">
                  <c:v>30.820000000000022</c:v>
                </c:pt>
                <c:pt idx="123">
                  <c:v>30.990000000000009</c:v>
                </c:pt>
                <c:pt idx="124">
                  <c:v>31.27000000000001</c:v>
                </c:pt>
                <c:pt idx="125">
                  <c:v>30.939999999999998</c:v>
                </c:pt>
                <c:pt idx="126">
                  <c:v>30.5</c:v>
                </c:pt>
                <c:pt idx="127">
                  <c:v>30.120000000000005</c:v>
                </c:pt>
                <c:pt idx="128">
                  <c:v>29.760000000000019</c:v>
                </c:pt>
                <c:pt idx="129">
                  <c:v>28.849999999999994</c:v>
                </c:pt>
                <c:pt idx="130">
                  <c:v>28.52000000000001</c:v>
                </c:pt>
                <c:pt idx="131">
                  <c:v>27.830000000000013</c:v>
                </c:pt>
                <c:pt idx="132">
                  <c:v>27.090000000000003</c:v>
                </c:pt>
                <c:pt idx="133">
                  <c:v>26.879999999999995</c:v>
                </c:pt>
                <c:pt idx="134">
                  <c:v>26.960000000000008</c:v>
                </c:pt>
                <c:pt idx="135">
                  <c:v>26.730000000000018</c:v>
                </c:pt>
                <c:pt idx="136">
                  <c:v>26.800000000000011</c:v>
                </c:pt>
                <c:pt idx="137">
                  <c:v>26.47</c:v>
                </c:pt>
                <c:pt idx="138">
                  <c:v>27.189999999999998</c:v>
                </c:pt>
                <c:pt idx="139">
                  <c:v>27.150000000000006</c:v>
                </c:pt>
                <c:pt idx="140">
                  <c:v>27.320000000000022</c:v>
                </c:pt>
                <c:pt idx="141">
                  <c:v>27.870000000000005</c:v>
                </c:pt>
                <c:pt idx="142">
                  <c:v>28.02000000000001</c:v>
                </c:pt>
                <c:pt idx="143">
                  <c:v>27.590000000000003</c:v>
                </c:pt>
                <c:pt idx="144">
                  <c:v>28.090000000000003</c:v>
                </c:pt>
                <c:pt idx="145">
                  <c:v>28.330000000000013</c:v>
                </c:pt>
                <c:pt idx="146">
                  <c:v>28.360000000000014</c:v>
                </c:pt>
                <c:pt idx="147">
                  <c:v>28.409999999999997</c:v>
                </c:pt>
                <c:pt idx="148">
                  <c:v>28.379999999999995</c:v>
                </c:pt>
                <c:pt idx="149">
                  <c:v>28.03</c:v>
                </c:pt>
                <c:pt idx="150">
                  <c:v>28.349999999999994</c:v>
                </c:pt>
                <c:pt idx="151">
                  <c:v>27.760000000000019</c:v>
                </c:pt>
                <c:pt idx="152">
                  <c:v>27.870000000000005</c:v>
                </c:pt>
                <c:pt idx="153">
                  <c:v>27.920000000000016</c:v>
                </c:pt>
                <c:pt idx="154">
                  <c:v>28.050000000000011</c:v>
                </c:pt>
                <c:pt idx="155">
                  <c:v>27.330000000000013</c:v>
                </c:pt>
                <c:pt idx="156">
                  <c:v>27.650000000000006</c:v>
                </c:pt>
                <c:pt idx="157">
                  <c:v>27.420000000000016</c:v>
                </c:pt>
                <c:pt idx="158">
                  <c:v>27.320000000000022</c:v>
                </c:pt>
                <c:pt idx="159">
                  <c:v>26.820000000000022</c:v>
                </c:pt>
                <c:pt idx="160">
                  <c:v>26.930000000000007</c:v>
                </c:pt>
                <c:pt idx="161">
                  <c:v>27.349999999999994</c:v>
                </c:pt>
                <c:pt idx="162">
                  <c:v>26.840000000000003</c:v>
                </c:pt>
                <c:pt idx="163">
                  <c:v>27.310000000000002</c:v>
                </c:pt>
                <c:pt idx="164">
                  <c:v>27.140000000000015</c:v>
                </c:pt>
                <c:pt idx="165">
                  <c:v>27.590000000000003</c:v>
                </c:pt>
                <c:pt idx="166">
                  <c:v>26.950000000000017</c:v>
                </c:pt>
                <c:pt idx="167">
                  <c:v>27.120000000000005</c:v>
                </c:pt>
                <c:pt idx="168">
                  <c:v>27.050000000000011</c:v>
                </c:pt>
                <c:pt idx="169">
                  <c:v>27.180000000000007</c:v>
                </c:pt>
                <c:pt idx="170">
                  <c:v>27.349999999999994</c:v>
                </c:pt>
                <c:pt idx="171">
                  <c:v>27.570000000000022</c:v>
                </c:pt>
                <c:pt idx="172">
                  <c:v>27.54000000000002</c:v>
                </c:pt>
                <c:pt idx="173">
                  <c:v>27.840000000000003</c:v>
                </c:pt>
                <c:pt idx="174">
                  <c:v>27.650000000000006</c:v>
                </c:pt>
                <c:pt idx="175">
                  <c:v>27.5</c:v>
                </c:pt>
                <c:pt idx="176">
                  <c:v>27.050000000000011</c:v>
                </c:pt>
                <c:pt idx="177">
                  <c:v>27.52000000000001</c:v>
                </c:pt>
                <c:pt idx="178">
                  <c:v>27.580000000000013</c:v>
                </c:pt>
                <c:pt idx="179">
                  <c:v>27.670000000000016</c:v>
                </c:pt>
                <c:pt idx="180">
                  <c:v>27.599999999999994</c:v>
                </c:pt>
                <c:pt idx="181">
                  <c:v>27.570000000000022</c:v>
                </c:pt>
                <c:pt idx="182">
                  <c:v>27.159999999999997</c:v>
                </c:pt>
                <c:pt idx="183">
                  <c:v>27.120000000000005</c:v>
                </c:pt>
                <c:pt idx="184">
                  <c:v>27.120000000000005</c:v>
                </c:pt>
                <c:pt idx="185">
                  <c:v>27.25</c:v>
                </c:pt>
                <c:pt idx="186">
                  <c:v>27.430000000000007</c:v>
                </c:pt>
                <c:pt idx="187">
                  <c:v>27.740000000000009</c:v>
                </c:pt>
                <c:pt idx="188">
                  <c:v>27.27000000000001</c:v>
                </c:pt>
                <c:pt idx="189">
                  <c:v>27.240000000000009</c:v>
                </c:pt>
                <c:pt idx="190">
                  <c:v>27.099999999999994</c:v>
                </c:pt>
                <c:pt idx="191">
                  <c:v>27.54000000000002</c:v>
                </c:pt>
                <c:pt idx="192">
                  <c:v>27.230000000000018</c:v>
                </c:pt>
                <c:pt idx="193">
                  <c:v>27.670000000000016</c:v>
                </c:pt>
                <c:pt idx="194">
                  <c:v>27.400000000000006</c:v>
                </c:pt>
                <c:pt idx="195">
                  <c:v>27.349999999999994</c:v>
                </c:pt>
                <c:pt idx="196">
                  <c:v>26.77000000000001</c:v>
                </c:pt>
                <c:pt idx="197">
                  <c:v>27.360000000000014</c:v>
                </c:pt>
                <c:pt idx="198">
                  <c:v>27.240000000000009</c:v>
                </c:pt>
                <c:pt idx="199">
                  <c:v>27.420000000000016</c:v>
                </c:pt>
                <c:pt idx="200">
                  <c:v>27.460000000000008</c:v>
                </c:pt>
                <c:pt idx="201">
                  <c:v>26.75</c:v>
                </c:pt>
                <c:pt idx="202">
                  <c:v>27.510000000000019</c:v>
                </c:pt>
                <c:pt idx="203">
                  <c:v>26.480000000000018</c:v>
                </c:pt>
                <c:pt idx="204">
                  <c:v>26.610000000000014</c:v>
                </c:pt>
                <c:pt idx="205">
                  <c:v>26.930000000000007</c:v>
                </c:pt>
                <c:pt idx="206">
                  <c:v>26.650000000000006</c:v>
                </c:pt>
                <c:pt idx="207">
                  <c:v>27.04000000000002</c:v>
                </c:pt>
                <c:pt idx="208">
                  <c:v>26.900000000000006</c:v>
                </c:pt>
                <c:pt idx="209">
                  <c:v>26.78</c:v>
                </c:pt>
                <c:pt idx="210">
                  <c:v>26.870000000000005</c:v>
                </c:pt>
                <c:pt idx="211">
                  <c:v>26.939999999999998</c:v>
                </c:pt>
                <c:pt idx="212">
                  <c:v>26.870000000000005</c:v>
                </c:pt>
                <c:pt idx="213">
                  <c:v>26.860000000000014</c:v>
                </c:pt>
                <c:pt idx="214">
                  <c:v>26.490000000000009</c:v>
                </c:pt>
                <c:pt idx="215">
                  <c:v>26.810000000000002</c:v>
                </c:pt>
                <c:pt idx="216">
                  <c:v>26.730000000000018</c:v>
                </c:pt>
                <c:pt idx="217">
                  <c:v>26.670000000000016</c:v>
                </c:pt>
                <c:pt idx="218">
                  <c:v>26.849999999999994</c:v>
                </c:pt>
                <c:pt idx="219">
                  <c:v>26.700000000000017</c:v>
                </c:pt>
                <c:pt idx="220">
                  <c:v>27.120000000000005</c:v>
                </c:pt>
                <c:pt idx="221">
                  <c:v>27.360000000000014</c:v>
                </c:pt>
                <c:pt idx="222">
                  <c:v>27.22</c:v>
                </c:pt>
                <c:pt idx="223">
                  <c:v>26.77000000000001</c:v>
                </c:pt>
                <c:pt idx="224">
                  <c:v>27.460000000000008</c:v>
                </c:pt>
                <c:pt idx="225">
                  <c:v>26.930000000000007</c:v>
                </c:pt>
                <c:pt idx="226">
                  <c:v>27.060000000000002</c:v>
                </c:pt>
                <c:pt idx="227">
                  <c:v>26.830000000000013</c:v>
                </c:pt>
                <c:pt idx="228">
                  <c:v>26.980000000000018</c:v>
                </c:pt>
                <c:pt idx="229">
                  <c:v>27.099999999999994</c:v>
                </c:pt>
                <c:pt idx="230">
                  <c:v>27.22</c:v>
                </c:pt>
                <c:pt idx="231">
                  <c:v>27.240000000000009</c:v>
                </c:pt>
                <c:pt idx="232">
                  <c:v>26.820000000000022</c:v>
                </c:pt>
                <c:pt idx="233">
                  <c:v>27.120000000000005</c:v>
                </c:pt>
                <c:pt idx="234">
                  <c:v>26.800000000000011</c:v>
                </c:pt>
                <c:pt idx="235">
                  <c:v>27.25</c:v>
                </c:pt>
                <c:pt idx="236">
                  <c:v>26.900000000000006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D2-46E9-B5D2-C9F03A28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15647"/>
        <c:axId val="757527647"/>
      </c:lineChart>
      <c:catAx>
        <c:axId val="7575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27647"/>
        <c:crosses val="autoZero"/>
        <c:auto val="1"/>
        <c:lblAlgn val="ctr"/>
        <c:lblOffset val="100"/>
        <c:noMultiLvlLbl val="0"/>
      </c:catAx>
      <c:valAx>
        <c:axId val="7575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Auslenkung</a:t>
                </a:r>
                <a:r>
                  <a:rPr lang="de-DE" baseline="0"/>
                  <a:t> [cm]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5</xdr:col>
      <xdr:colOff>478234</xdr:colOff>
      <xdr:row>47</xdr:row>
      <xdr:rowOff>189600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35B7BC5-5C20-4C1F-91E7-89D6C0595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839258</xdr:colOff>
      <xdr:row>27</xdr:row>
      <xdr:rowOff>0</xdr:rowOff>
    </xdr:from>
    <xdr:to>
      <xdr:col>13</xdr:col>
      <xdr:colOff>0</xdr:colOff>
      <xdr:row>47</xdr:row>
      <xdr:rowOff>189600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6590A886-BCC5-46D9-B3F2-4445CC5CE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C321-631B-4E28-8189-C95E601720DD}">
  <sheetPr codeName="Tabelle1"/>
  <dimension ref="B1:L25"/>
  <sheetViews>
    <sheetView tabSelected="1" zoomScale="70" zoomScaleNormal="70" workbookViewId="0">
      <selection activeCell="C25" sqref="C25"/>
    </sheetView>
  </sheetViews>
  <sheetFormatPr baseColWidth="10" defaultColWidth="11.28515625" defaultRowHeight="15" x14ac:dyDescent="0.25"/>
  <cols>
    <col min="1" max="1" width="4.42578125" customWidth="1"/>
    <col min="2" max="2" width="51.28515625" customWidth="1"/>
    <col min="3" max="3" width="27.140625" bestFit="1" customWidth="1"/>
    <col min="4" max="4" width="5.28515625" bestFit="1" customWidth="1"/>
    <col min="5" max="5" width="10.28515625" customWidth="1"/>
    <col min="6" max="6" width="27.42578125" bestFit="1" customWidth="1"/>
    <col min="7" max="7" width="10.85546875" bestFit="1" customWidth="1"/>
    <col min="8" max="8" width="4.140625" bestFit="1" customWidth="1"/>
    <col min="9" max="9" width="15.28515625" customWidth="1"/>
    <col min="10" max="10" width="27.42578125" bestFit="1" customWidth="1"/>
    <col min="11" max="11" width="10.85546875" bestFit="1" customWidth="1"/>
    <col min="12" max="12" width="4.140625" customWidth="1"/>
    <col min="13" max="13" width="14.140625" customWidth="1"/>
    <col min="14" max="14" width="5.42578125" customWidth="1"/>
    <col min="15" max="15" width="27" customWidth="1"/>
  </cols>
  <sheetData>
    <row r="1" spans="2:12" ht="34.5" x14ac:dyDescent="0.55000000000000004">
      <c r="B1" s="17" t="s">
        <v>52</v>
      </c>
    </row>
    <row r="3" spans="2:12" ht="21" x14ac:dyDescent="0.35">
      <c r="B3" s="16" t="s">
        <v>27</v>
      </c>
      <c r="C3" s="13"/>
      <c r="D3" s="13"/>
    </row>
    <row r="4" spans="2:12" ht="21" x14ac:dyDescent="0.35">
      <c r="B4" s="14" t="s">
        <v>34</v>
      </c>
      <c r="C4" s="15" t="s">
        <v>82</v>
      </c>
      <c r="D4" s="9"/>
      <c r="F4" s="18" t="s">
        <v>20</v>
      </c>
      <c r="G4" s="10"/>
      <c r="H4" s="10"/>
      <c r="I4" s="10"/>
      <c r="J4" s="18" t="s">
        <v>22</v>
      </c>
    </row>
    <row r="5" spans="2:12" ht="21" x14ac:dyDescent="0.35">
      <c r="B5" s="14" t="s">
        <v>28</v>
      </c>
      <c r="C5" s="15" t="s">
        <v>83</v>
      </c>
      <c r="D5" s="9"/>
      <c r="F5" s="4" t="s">
        <v>25</v>
      </c>
      <c r="G5">
        <f>MAX(CSV_Import!G2:G1048576)</f>
        <v>4</v>
      </c>
      <c r="J5" s="4" t="s">
        <v>25</v>
      </c>
      <c r="K5">
        <f>MAX(CSV_Import!W2:W1048576)</f>
        <v>4</v>
      </c>
    </row>
    <row r="6" spans="2:12" ht="21" x14ac:dyDescent="0.35">
      <c r="B6" s="14" t="s">
        <v>30</v>
      </c>
      <c r="C6" s="15" t="s">
        <v>54</v>
      </c>
      <c r="D6" s="9"/>
      <c r="F6" s="4" t="s">
        <v>23</v>
      </c>
      <c r="G6" s="6">
        <f>CSV_Import!E2</f>
        <v>45846</v>
      </c>
      <c r="J6" s="4" t="s">
        <v>23</v>
      </c>
      <c r="K6" s="6">
        <f>CSV_Import!U2</f>
        <v>45846</v>
      </c>
    </row>
    <row r="7" spans="2:12" ht="21" x14ac:dyDescent="0.35">
      <c r="B7" s="14" t="s">
        <v>32</v>
      </c>
      <c r="C7" s="15">
        <v>3000</v>
      </c>
      <c r="D7" s="9" t="s">
        <v>33</v>
      </c>
      <c r="F7" s="4" t="s">
        <v>24</v>
      </c>
      <c r="G7" s="5">
        <f>(MAX(CSV_Import!F2:F1048576)-MIN(CSV_Import!F2:F1048576))/1000</f>
        <v>51.9</v>
      </c>
      <c r="H7" t="s">
        <v>41</v>
      </c>
      <c r="J7" s="4" t="s">
        <v>24</v>
      </c>
      <c r="K7" s="5">
        <f>(MAX(CSV_Import!V2:V1048576)-MIN(CSV_Import!V2:V1048576))/1000</f>
        <v>51.9</v>
      </c>
      <c r="L7" t="s">
        <v>41</v>
      </c>
    </row>
    <row r="8" spans="2:12" ht="21" x14ac:dyDescent="0.35">
      <c r="B8" s="14" t="s">
        <v>29</v>
      </c>
      <c r="C8" s="15">
        <v>24</v>
      </c>
      <c r="D8" s="9" t="s">
        <v>31</v>
      </c>
      <c r="F8" s="4"/>
      <c r="G8" s="5"/>
    </row>
    <row r="9" spans="2:12" ht="21" x14ac:dyDescent="0.35">
      <c r="B9" s="14" t="s">
        <v>55</v>
      </c>
      <c r="C9" s="15">
        <v>5</v>
      </c>
      <c r="D9" s="9" t="s">
        <v>42</v>
      </c>
      <c r="F9" s="2" t="s">
        <v>40</v>
      </c>
      <c r="J9" s="2" t="s">
        <v>40</v>
      </c>
    </row>
    <row r="10" spans="2:12" ht="14.25" customHeight="1" x14ac:dyDescent="0.25">
      <c r="C10" s="7"/>
      <c r="F10" s="4" t="s">
        <v>39</v>
      </c>
      <c r="G10">
        <f>ROUND(MAX(CSV_Import!J2:J1048576),4)</f>
        <v>4.6800000000000001E-2</v>
      </c>
      <c r="H10" t="s">
        <v>43</v>
      </c>
      <c r="J10" s="4" t="s">
        <v>39</v>
      </c>
      <c r="K10">
        <f>ROUND(MAX(CSV_Import!Z2:Z1048576),4)</f>
        <v>4.7E-2</v>
      </c>
      <c r="L10" t="s">
        <v>43</v>
      </c>
    </row>
    <row r="11" spans="2:12" ht="15.75" x14ac:dyDescent="0.25">
      <c r="B11" s="11" t="s">
        <v>25</v>
      </c>
      <c r="F11" s="4" t="s">
        <v>26</v>
      </c>
      <c r="G11">
        <f>ROUND(MEDIAN(CSV_Import!J2:J1048576),4)</f>
        <v>4.65E-2</v>
      </c>
      <c r="H11" t="s">
        <v>43</v>
      </c>
      <c r="J11" s="4" t="s">
        <v>26</v>
      </c>
      <c r="K11">
        <f>ROUND(MEDIAN(CSV_Import!Z2:Z1048576),4)</f>
        <v>4.6899999999999997E-2</v>
      </c>
      <c r="L11" t="s">
        <v>43</v>
      </c>
    </row>
    <row r="12" spans="2:12" x14ac:dyDescent="0.25">
      <c r="B12" s="4" t="s">
        <v>44</v>
      </c>
      <c r="C12" s="12" t="s">
        <v>46</v>
      </c>
      <c r="F12" s="4"/>
    </row>
    <row r="13" spans="2:12" x14ac:dyDescent="0.25">
      <c r="B13" s="4" t="s">
        <v>45</v>
      </c>
      <c r="C13" s="12" t="s">
        <v>46</v>
      </c>
      <c r="F13" s="3" t="s">
        <v>56</v>
      </c>
      <c r="J13" s="3" t="s">
        <v>56</v>
      </c>
    </row>
    <row r="14" spans="2:12" x14ac:dyDescent="0.25">
      <c r="B14" s="4" t="s">
        <v>47</v>
      </c>
      <c r="C14" s="12">
        <v>4</v>
      </c>
      <c r="F14" s="4" t="s">
        <v>35</v>
      </c>
      <c r="G14">
        <f>ROUND(MAX(CSV_Import!A2:A1048576),4)</f>
        <v>1.0831999999999999</v>
      </c>
      <c r="H14" t="s">
        <v>43</v>
      </c>
      <c r="J14" s="4" t="s">
        <v>35</v>
      </c>
      <c r="K14">
        <f>ROUND(MAX(CSV_Import!Q2:Q1048576),4)</f>
        <v>1.0202</v>
      </c>
      <c r="L14" t="s">
        <v>43</v>
      </c>
    </row>
    <row r="15" spans="2:12" x14ac:dyDescent="0.25">
      <c r="B15" s="4" t="s">
        <v>48</v>
      </c>
      <c r="C15" s="12">
        <v>5</v>
      </c>
      <c r="F15" s="4" t="s">
        <v>38</v>
      </c>
      <c r="G15">
        <f>ROUND(MIN(CSV_Import!A2:A1048576),4)</f>
        <v>-1.0533999999999999</v>
      </c>
      <c r="H15" t="s">
        <v>43</v>
      </c>
      <c r="J15" s="4" t="s">
        <v>38</v>
      </c>
      <c r="K15">
        <f>ROUND(MIN(CSV_Import!Q2:Q1048576),4)</f>
        <v>-1.1937</v>
      </c>
      <c r="L15" t="s">
        <v>43</v>
      </c>
    </row>
    <row r="16" spans="2:12" x14ac:dyDescent="0.25">
      <c r="B16" s="4" t="s">
        <v>49</v>
      </c>
      <c r="C16" s="12">
        <v>6</v>
      </c>
      <c r="F16" s="4" t="s">
        <v>26</v>
      </c>
      <c r="G16">
        <f>ROUND(MEDIAN(CSV_Import!A2:A1048576),4)</f>
        <v>0.3821</v>
      </c>
      <c r="H16" t="s">
        <v>43</v>
      </c>
      <c r="J16" s="4" t="s">
        <v>26</v>
      </c>
      <c r="K16">
        <f>ROUND(MEDIAN(CSV_Import!Q2:Q1048576),4)</f>
        <v>0.1966</v>
      </c>
      <c r="L16" t="s">
        <v>43</v>
      </c>
    </row>
    <row r="18" spans="2:12" ht="15.75" x14ac:dyDescent="0.25">
      <c r="B18" s="18" t="s">
        <v>84</v>
      </c>
      <c r="F18" s="4" t="str">
        <f>F14</f>
        <v>Maximale Positive Auslenkung:</v>
      </c>
      <c r="G18">
        <f>ROUND(TAN(RADIANS(G14))*(($C$8*100)/2-$C$9),2)</f>
        <v>22.59</v>
      </c>
      <c r="H18" t="s">
        <v>42</v>
      </c>
      <c r="J18" s="4" t="str">
        <f>J14</f>
        <v>Maximale Positive Auslenkung:</v>
      </c>
      <c r="K18">
        <f>ROUND(TAN(RADIANS(K14))*(($C$8*100)/2-$C$9),2)</f>
        <v>21.28</v>
      </c>
      <c r="L18" t="s">
        <v>42</v>
      </c>
    </row>
    <row r="19" spans="2:12" x14ac:dyDescent="0.25">
      <c r="B19" t="s">
        <v>85</v>
      </c>
      <c r="C19">
        <f>ROUND(MAX(CSV_Import!AM:AM),2)</f>
        <v>5.12</v>
      </c>
      <c r="D19" t="s">
        <v>86</v>
      </c>
      <c r="F19" s="4" t="str">
        <f>F15</f>
        <v>Minimale Negative Auslenkung</v>
      </c>
      <c r="G19">
        <f>ROUND(TAN(RADIANS(G15))*(($C$8*100)/2-$C$9),2)</f>
        <v>-21.97</v>
      </c>
      <c r="H19" t="s">
        <v>42</v>
      </c>
      <c r="J19" s="4" t="str">
        <f>J15</f>
        <v>Minimale Negative Auslenkung</v>
      </c>
      <c r="K19">
        <f>ROUND(TAN(RADIANS(K15))*(($C$8*100)/2-$C$9),2)</f>
        <v>-24.9</v>
      </c>
      <c r="L19" t="s">
        <v>42</v>
      </c>
    </row>
    <row r="20" spans="2:12" x14ac:dyDescent="0.25">
      <c r="B20" t="s">
        <v>87</v>
      </c>
      <c r="C20">
        <f>MIN(CSV_Import!AI:AI)</f>
        <v>12</v>
      </c>
      <c r="F20" s="4" t="str">
        <f>F16</f>
        <v>Median:</v>
      </c>
      <c r="G20">
        <f>ROUND(TAN(RADIANS(G16))*(($C$8*100)/2-$C$9),2)</f>
        <v>7.97</v>
      </c>
      <c r="H20" t="s">
        <v>42</v>
      </c>
      <c r="J20" s="4" t="str">
        <f>J16</f>
        <v>Median:</v>
      </c>
      <c r="K20">
        <f>ROUND(TAN(RADIANS(K16))*(($C$8*100)/2-$C$9),2)</f>
        <v>4.0999999999999996</v>
      </c>
      <c r="L20" t="s">
        <v>42</v>
      </c>
    </row>
    <row r="21" spans="2:12" x14ac:dyDescent="0.25">
      <c r="B21" t="s">
        <v>88</v>
      </c>
      <c r="C21">
        <f>MAX(CSV_Import!AJ:AJ)</f>
        <v>0.49</v>
      </c>
    </row>
    <row r="22" spans="2:12" x14ac:dyDescent="0.25">
      <c r="F22" s="2" t="s">
        <v>57</v>
      </c>
      <c r="J22" s="2" t="s">
        <v>57</v>
      </c>
    </row>
    <row r="23" spans="2:12" x14ac:dyDescent="0.25">
      <c r="F23" s="4" t="s">
        <v>36</v>
      </c>
      <c r="G23">
        <f>ROUND(MAX(Kalkulationen!G4:G240),4)</f>
        <v>0.75</v>
      </c>
      <c r="H23" t="s">
        <v>42</v>
      </c>
      <c r="J23" s="4" t="s">
        <v>36</v>
      </c>
      <c r="K23">
        <f>ROUND(MAX(Kalkulationen!H4:H240),4)</f>
        <v>56.92</v>
      </c>
      <c r="L23" t="s">
        <v>42</v>
      </c>
    </row>
    <row r="24" spans="2:12" x14ac:dyDescent="0.25">
      <c r="B24" s="8" t="s">
        <v>53</v>
      </c>
      <c r="F24" s="4" t="s">
        <v>37</v>
      </c>
      <c r="G24">
        <f>ROUND(MIN(Kalkulationen!G4:G240),4)</f>
        <v>-53.18</v>
      </c>
      <c r="H24" t="s">
        <v>42</v>
      </c>
      <c r="J24" s="4" t="s">
        <v>37</v>
      </c>
      <c r="K24">
        <f>ROUND(MIN(Kalkulationen!H4:H240),4)</f>
        <v>-4.24</v>
      </c>
      <c r="L24" t="s">
        <v>42</v>
      </c>
    </row>
    <row r="25" spans="2:12" x14ac:dyDescent="0.25">
      <c r="F25" s="4" t="s">
        <v>21</v>
      </c>
      <c r="G25">
        <f>ROUND(MEDIAN(Kalkulationen!G4:G240),4)</f>
        <v>-38.39</v>
      </c>
      <c r="H25" t="s">
        <v>42</v>
      </c>
      <c r="J25" s="4" t="s">
        <v>21</v>
      </c>
      <c r="K25">
        <f>ROUND(MEDIAN(Kalkulationen!H4:H240),4)</f>
        <v>27.18</v>
      </c>
      <c r="L25" t="s">
        <v>42</v>
      </c>
    </row>
  </sheetData>
  <phoneticPr fontId="3" type="noConversion"/>
  <dataValidations disablePrompts="1" count="3">
    <dataValidation type="list" allowBlank="1" showInputMessage="1" showErrorMessage="1" sqref="C6" xr:uid="{BFF0E41D-B3E1-4218-97FC-72A791C6B1A1}">
      <formula1>"angebaut,angebaut+Fronttank,gezogen,Selbstfahrer"</formula1>
    </dataValidation>
    <dataValidation type="list" allowBlank="1" showInputMessage="1" showErrorMessage="1" sqref="C7" xr:uid="{8878F6C4-4013-47A6-BAD7-333C874A3134}">
      <formula1>"600,800,1000,1200,1500,2000,2500,3000,3500,4000,4500,5000,5500,6000,6500,7000,8000,9000,10000,11000,12000"</formula1>
    </dataValidation>
    <dataValidation type="list" allowBlank="1" showInputMessage="1" showErrorMessage="1" sqref="C8" xr:uid="{37083156-AC58-4658-A474-78F0106457C5}">
      <mc:AlternateContent xmlns:x12ac="http://schemas.microsoft.com/office/spreadsheetml/2011/1/ac" xmlns:mc="http://schemas.openxmlformats.org/markup-compatibility/2006">
        <mc:Choice Requires="x12ac">
          <x12ac:list>12,15,18,20,24,26,27,"27,5",28,30,32,34,36,38,40,42,44,46,48,50,52,54</x12ac:list>
        </mc:Choice>
        <mc:Fallback>
          <formula1>"12,15,18,20,24,26,27,27,5,28,30,32,34,36,38,40,42,44,46,48,50,52,54"</formula1>
        </mc:Fallback>
      </mc:AlternateContent>
    </dataValidation>
  </dataValidations>
  <pageMargins left="0.19685039370078741" right="0.19685039370078741" top="0.39370078740157483" bottom="0.39370078740157483" header="0" footer="0"/>
  <pageSetup paperSize="9" scale="6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042-0457-4D1F-9C85-498D8D275B75}">
  <sheetPr codeName="Tabelle2"/>
  <dimension ref="A1:AM238"/>
  <sheetViews>
    <sheetView topLeftCell="V1" zoomScaleNormal="100" workbookViewId="0">
      <pane ySplit="1" topLeftCell="A221" activePane="bottomLeft" state="frozen"/>
      <selection activeCell="B1" sqref="B1"/>
      <selection pane="bottomLeft" activeCell="AI14" sqref="AI14"/>
    </sheetView>
  </sheetViews>
  <sheetFormatPr baseColWidth="10" defaultRowHeight="15" x14ac:dyDescent="0.25"/>
  <cols>
    <col min="2" max="2" width="11.5703125" bestFit="1" customWidth="1"/>
    <col min="23" max="23" width="17.85546875" bestFit="1" customWidth="1"/>
  </cols>
  <sheetData>
    <row r="1" spans="1:39" s="2" customFormat="1" x14ac:dyDescent="0.25">
      <c r="A1" s="2" t="s">
        <v>58</v>
      </c>
      <c r="B1" s="2" t="s">
        <v>0</v>
      </c>
      <c r="C1" s="2" t="s">
        <v>50</v>
      </c>
      <c r="D1" s="2" t="s">
        <v>59</v>
      </c>
      <c r="E1" s="2" t="s">
        <v>1</v>
      </c>
      <c r="F1" s="2" t="s">
        <v>2</v>
      </c>
      <c r="G1" s="2" t="s">
        <v>9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10</v>
      </c>
      <c r="S1" s="2" t="s">
        <v>51</v>
      </c>
      <c r="T1" s="2" t="s">
        <v>63</v>
      </c>
      <c r="U1" s="2" t="s">
        <v>11</v>
      </c>
      <c r="V1" s="2" t="s">
        <v>12</v>
      </c>
      <c r="W1" s="2" t="s">
        <v>19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</row>
    <row r="2" spans="1:39" x14ac:dyDescent="0.25">
      <c r="B2">
        <v>274.72091999999998</v>
      </c>
      <c r="C2">
        <v>0</v>
      </c>
      <c r="D2">
        <v>-1.13200000000119E-2</v>
      </c>
      <c r="E2" s="1">
        <v>45846</v>
      </c>
      <c r="F2">
        <v>227700200</v>
      </c>
      <c r="G2">
        <v>4</v>
      </c>
      <c r="H2">
        <v>9.6293570000000006</v>
      </c>
      <c r="I2">
        <v>49.679529333300003</v>
      </c>
      <c r="J2">
        <v>4.6679999999999999E-2</v>
      </c>
      <c r="K2">
        <v>101.01</v>
      </c>
      <c r="L2">
        <v>-1223.1600000000001</v>
      </c>
      <c r="M2">
        <v>159.11000000000001</v>
      </c>
      <c r="N2">
        <v>167.3</v>
      </c>
      <c r="O2">
        <v>33780</v>
      </c>
      <c r="P2">
        <v>7.3999999999999996E-2</v>
      </c>
      <c r="R2">
        <v>66.790760000000006</v>
      </c>
      <c r="S2">
        <v>0</v>
      </c>
      <c r="T2">
        <v>1.98900000000037E-2</v>
      </c>
      <c r="U2" s="1">
        <v>45846</v>
      </c>
      <c r="V2">
        <v>227700200</v>
      </c>
      <c r="W2">
        <v>4</v>
      </c>
      <c r="X2">
        <v>9.6296828333000004</v>
      </c>
      <c r="Y2">
        <v>49.679563833300001</v>
      </c>
      <c r="Z2">
        <v>4.6690000000000002E-2</v>
      </c>
      <c r="AA2">
        <v>483.61</v>
      </c>
      <c r="AB2">
        <v>1127.8399999999999</v>
      </c>
      <c r="AC2">
        <v>165.04</v>
      </c>
      <c r="AD2">
        <v>167.3</v>
      </c>
      <c r="AE2">
        <v>33780</v>
      </c>
      <c r="AF2">
        <v>0.04</v>
      </c>
      <c r="AG2">
        <v>9.6295265000000008</v>
      </c>
      <c r="AH2">
        <v>49.679520333299998</v>
      </c>
      <c r="AI2">
        <v>12</v>
      </c>
      <c r="AJ2">
        <v>0.49</v>
      </c>
      <c r="AK2">
        <v>168.9</v>
      </c>
      <c r="AL2">
        <v>227700200</v>
      </c>
      <c r="AM2">
        <v>0.08</v>
      </c>
    </row>
    <row r="3" spans="1:39" x14ac:dyDescent="0.25">
      <c r="A3">
        <v>7.2600000000306803E-3</v>
      </c>
      <c r="B3">
        <v>274.72818000000001</v>
      </c>
      <c r="C3">
        <v>0</v>
      </c>
      <c r="D3">
        <v>7.2600000000306803E-3</v>
      </c>
      <c r="E3" s="1">
        <v>45846</v>
      </c>
      <c r="F3">
        <v>227700400</v>
      </c>
      <c r="G3">
        <v>4</v>
      </c>
      <c r="H3">
        <v>9.6293570000000006</v>
      </c>
      <c r="I3">
        <v>49.679529500000001</v>
      </c>
      <c r="J3">
        <v>4.6679999999999999E-2</v>
      </c>
      <c r="K3">
        <v>101.17</v>
      </c>
      <c r="L3">
        <v>-1223.1400000000001</v>
      </c>
      <c r="M3">
        <v>158.87</v>
      </c>
      <c r="N3">
        <v>167.3</v>
      </c>
      <c r="O3">
        <v>33780</v>
      </c>
      <c r="P3">
        <v>3.7999999999999999E-2</v>
      </c>
      <c r="Q3">
        <v>6.9299999999969898E-3</v>
      </c>
      <c r="R3">
        <v>66.797690000000003</v>
      </c>
      <c r="S3">
        <v>0</v>
      </c>
      <c r="T3">
        <v>6.9299999999969898E-3</v>
      </c>
      <c r="U3" s="1">
        <v>45846</v>
      </c>
      <c r="V3">
        <v>227700400</v>
      </c>
      <c r="W3">
        <v>4</v>
      </c>
      <c r="X3">
        <v>9.6296828333000004</v>
      </c>
      <c r="Y3">
        <v>49.679563833300001</v>
      </c>
      <c r="Z3">
        <v>4.6690000000000002E-2</v>
      </c>
      <c r="AA3">
        <v>483.49</v>
      </c>
      <c r="AB3">
        <v>1127.95</v>
      </c>
      <c r="AC3">
        <v>164.94</v>
      </c>
      <c r="AD3">
        <v>167.3</v>
      </c>
      <c r="AE3">
        <v>33780</v>
      </c>
      <c r="AF3">
        <v>2.9000000000000001E-2</v>
      </c>
      <c r="AG3">
        <v>9.6295265000000008</v>
      </c>
      <c r="AH3">
        <v>49.679520500000002</v>
      </c>
      <c r="AI3">
        <v>12</v>
      </c>
      <c r="AJ3">
        <v>0.49</v>
      </c>
      <c r="AK3">
        <v>168.9</v>
      </c>
      <c r="AL3">
        <v>227700400</v>
      </c>
      <c r="AM3">
        <v>4.7E-2</v>
      </c>
    </row>
    <row r="4" spans="1:39" x14ac:dyDescent="0.25">
      <c r="A4">
        <v>1.24400000000264E-2</v>
      </c>
      <c r="B4">
        <v>274.73336</v>
      </c>
      <c r="C4">
        <v>0</v>
      </c>
      <c r="D4">
        <v>5.1799999999957401E-3</v>
      </c>
      <c r="E4" s="1">
        <v>45846</v>
      </c>
      <c r="F4">
        <v>227700600</v>
      </c>
      <c r="G4">
        <v>4</v>
      </c>
      <c r="H4">
        <v>9.6293570000000006</v>
      </c>
      <c r="I4">
        <v>49.679529500000001</v>
      </c>
      <c r="J4">
        <v>4.6690000000000002E-2</v>
      </c>
      <c r="K4">
        <v>101.27</v>
      </c>
      <c r="L4">
        <v>-1223.06</v>
      </c>
      <c r="M4">
        <v>159.04</v>
      </c>
      <c r="N4">
        <v>167.3</v>
      </c>
      <c r="O4">
        <v>33780</v>
      </c>
      <c r="P4">
        <v>2.9000000000000001E-2</v>
      </c>
      <c r="Q4">
        <v>-1.62000000000261E-3</v>
      </c>
      <c r="R4">
        <v>66.789140000000003</v>
      </c>
      <c r="S4">
        <v>0</v>
      </c>
      <c r="T4">
        <v>-8.54999999999961E-3</v>
      </c>
      <c r="U4" s="1">
        <v>45846</v>
      </c>
      <c r="V4">
        <v>227700600</v>
      </c>
      <c r="W4">
        <v>4</v>
      </c>
      <c r="X4">
        <v>9.6296828333000004</v>
      </c>
      <c r="Y4">
        <v>49.679563833300001</v>
      </c>
      <c r="Z4">
        <v>4.6690000000000002E-2</v>
      </c>
      <c r="AA4">
        <v>483.68</v>
      </c>
      <c r="AB4">
        <v>1127.9100000000001</v>
      </c>
      <c r="AC4">
        <v>164.88</v>
      </c>
      <c r="AD4">
        <v>167.3</v>
      </c>
      <c r="AE4">
        <v>33780</v>
      </c>
      <c r="AF4">
        <v>0.01</v>
      </c>
      <c r="AG4">
        <v>9.6295265000000008</v>
      </c>
      <c r="AH4">
        <v>49.679520500000002</v>
      </c>
      <c r="AI4">
        <v>12</v>
      </c>
      <c r="AJ4">
        <v>0.49</v>
      </c>
      <c r="AK4">
        <v>168.9</v>
      </c>
      <c r="AL4">
        <v>227700600</v>
      </c>
      <c r="AM4">
        <v>4.4999999999999998E-2</v>
      </c>
    </row>
    <row r="5" spans="1:39" x14ac:dyDescent="0.25">
      <c r="A5">
        <v>-4.3999999996913099E-4</v>
      </c>
      <c r="B5">
        <v>274.72048000000001</v>
      </c>
      <c r="C5">
        <v>0</v>
      </c>
      <c r="D5">
        <v>-1.2879999999995499E-2</v>
      </c>
      <c r="E5" s="1">
        <v>45846</v>
      </c>
      <c r="F5">
        <v>227700800</v>
      </c>
      <c r="G5">
        <v>4</v>
      </c>
      <c r="H5">
        <v>9.6293570000000006</v>
      </c>
      <c r="I5">
        <v>49.679529500000001</v>
      </c>
      <c r="J5">
        <v>4.6679999999999999E-2</v>
      </c>
      <c r="K5">
        <v>101</v>
      </c>
      <c r="L5">
        <v>-1223.1500000000001</v>
      </c>
      <c r="M5">
        <v>159.06</v>
      </c>
      <c r="N5">
        <v>167.3</v>
      </c>
      <c r="O5">
        <v>33780</v>
      </c>
      <c r="P5">
        <v>1.2E-2</v>
      </c>
      <c r="Q5">
        <v>-4.3399999999991197E-3</v>
      </c>
      <c r="R5">
        <v>66.786420000000007</v>
      </c>
      <c r="S5">
        <v>0</v>
      </c>
      <c r="T5">
        <v>-2.7199999999965E-3</v>
      </c>
      <c r="U5" s="1">
        <v>45846</v>
      </c>
      <c r="V5">
        <v>227700800</v>
      </c>
      <c r="W5">
        <v>4</v>
      </c>
      <c r="X5">
        <v>9.6296828333000004</v>
      </c>
      <c r="Y5">
        <v>49.679563999999999</v>
      </c>
      <c r="Z5">
        <v>4.6690000000000002E-2</v>
      </c>
      <c r="AA5">
        <v>483.72</v>
      </c>
      <c r="AB5">
        <v>1127.8699999999999</v>
      </c>
      <c r="AC5">
        <v>164.87</v>
      </c>
      <c r="AD5">
        <v>167.3</v>
      </c>
      <c r="AE5">
        <v>33780</v>
      </c>
      <c r="AF5">
        <v>1.2E-2</v>
      </c>
      <c r="AG5">
        <v>9.6295265000000008</v>
      </c>
      <c r="AH5">
        <v>49.679520500000002</v>
      </c>
      <c r="AI5">
        <v>12</v>
      </c>
      <c r="AJ5">
        <v>0.49</v>
      </c>
      <c r="AK5">
        <v>168.9</v>
      </c>
      <c r="AL5">
        <v>227700800</v>
      </c>
      <c r="AM5">
        <v>4.2000000000000003E-2</v>
      </c>
    </row>
    <row r="6" spans="1:39" x14ac:dyDescent="0.25">
      <c r="A6">
        <v>-3.65999999996802E-3</v>
      </c>
      <c r="B6">
        <v>274.71726000000001</v>
      </c>
      <c r="C6">
        <v>0</v>
      </c>
      <c r="D6">
        <v>-3.21999999999889E-3</v>
      </c>
      <c r="E6" s="1">
        <v>45846</v>
      </c>
      <c r="F6">
        <v>227701000</v>
      </c>
      <c r="G6">
        <v>4</v>
      </c>
      <c r="H6">
        <v>9.6293570000000006</v>
      </c>
      <c r="I6">
        <v>49.679529500000001</v>
      </c>
      <c r="J6">
        <v>4.6679999999999999E-2</v>
      </c>
      <c r="K6">
        <v>100.93</v>
      </c>
      <c r="L6">
        <v>-1223.17</v>
      </c>
      <c r="M6">
        <v>158.96</v>
      </c>
      <c r="N6">
        <v>167.3</v>
      </c>
      <c r="O6">
        <v>33780</v>
      </c>
      <c r="P6">
        <v>3.9E-2</v>
      </c>
      <c r="Q6">
        <v>1.1579999999995001E-2</v>
      </c>
      <c r="R6">
        <v>66.802340000000001</v>
      </c>
      <c r="S6">
        <v>0</v>
      </c>
      <c r="T6">
        <v>1.5919999999994099E-2</v>
      </c>
      <c r="U6" s="1">
        <v>45846</v>
      </c>
      <c r="V6">
        <v>227701000</v>
      </c>
      <c r="W6">
        <v>4</v>
      </c>
      <c r="X6">
        <v>9.6296828333000004</v>
      </c>
      <c r="Y6">
        <v>49.679563999999999</v>
      </c>
      <c r="Z6">
        <v>4.6690000000000002E-2</v>
      </c>
      <c r="AA6">
        <v>483.38</v>
      </c>
      <c r="AB6">
        <v>1127.94</v>
      </c>
      <c r="AC6">
        <v>164.55</v>
      </c>
      <c r="AD6">
        <v>167.3</v>
      </c>
      <c r="AE6">
        <v>33780</v>
      </c>
      <c r="AF6">
        <v>4.5999999999999999E-2</v>
      </c>
      <c r="AG6">
        <v>9.6295265000000008</v>
      </c>
      <c r="AH6">
        <v>49.679520500000002</v>
      </c>
      <c r="AI6">
        <v>12</v>
      </c>
      <c r="AJ6">
        <v>0.49</v>
      </c>
      <c r="AK6">
        <v>168.9</v>
      </c>
      <c r="AL6">
        <v>227701000</v>
      </c>
      <c r="AM6">
        <v>3.3000000000000002E-2</v>
      </c>
    </row>
    <row r="7" spans="1:39" x14ac:dyDescent="0.25">
      <c r="A7">
        <v>-7.5799999999617198E-3</v>
      </c>
      <c r="B7">
        <v>274.71334000000002</v>
      </c>
      <c r="C7">
        <v>0</v>
      </c>
      <c r="D7">
        <v>-3.9199999999937002E-3</v>
      </c>
      <c r="E7" s="1">
        <v>45846</v>
      </c>
      <c r="F7">
        <v>227701200</v>
      </c>
      <c r="G7">
        <v>4</v>
      </c>
      <c r="H7">
        <v>9.6293570000000006</v>
      </c>
      <c r="I7">
        <v>49.679529500000001</v>
      </c>
      <c r="J7">
        <v>4.6679999999999999E-2</v>
      </c>
      <c r="K7">
        <v>100.86</v>
      </c>
      <c r="L7">
        <v>-1223.33</v>
      </c>
      <c r="M7">
        <v>158.46</v>
      </c>
      <c r="N7">
        <v>167.4</v>
      </c>
      <c r="O7">
        <v>33790</v>
      </c>
      <c r="P7">
        <v>2.1000000000000001E-2</v>
      </c>
      <c r="Q7">
        <v>2.19099999999912E-2</v>
      </c>
      <c r="R7">
        <v>66.812669999999997</v>
      </c>
      <c r="S7">
        <v>0</v>
      </c>
      <c r="T7">
        <v>1.0329999999996099E-2</v>
      </c>
      <c r="U7" s="1">
        <v>45846</v>
      </c>
      <c r="V7">
        <v>227701200</v>
      </c>
      <c r="W7">
        <v>4</v>
      </c>
      <c r="X7">
        <v>9.6296828333000004</v>
      </c>
      <c r="Y7">
        <v>49.679563999999999</v>
      </c>
      <c r="Z7">
        <v>4.6690000000000002E-2</v>
      </c>
      <c r="AA7">
        <v>483.18</v>
      </c>
      <c r="AB7">
        <v>1128.04</v>
      </c>
      <c r="AC7">
        <v>164.64</v>
      </c>
      <c r="AD7">
        <v>167.3</v>
      </c>
      <c r="AE7">
        <v>33780</v>
      </c>
      <c r="AF7">
        <v>2.8000000000000001E-2</v>
      </c>
      <c r="AG7">
        <v>9.6295265000000008</v>
      </c>
      <c r="AH7">
        <v>49.679520500000002</v>
      </c>
      <c r="AI7">
        <v>12</v>
      </c>
      <c r="AJ7">
        <v>0.49</v>
      </c>
      <c r="AK7">
        <v>168.9</v>
      </c>
      <c r="AL7">
        <v>227701200</v>
      </c>
      <c r="AM7">
        <v>6.4000000000000001E-2</v>
      </c>
    </row>
    <row r="8" spans="1:39" x14ac:dyDescent="0.25">
      <c r="A8">
        <v>-1.4979999999980001E-2</v>
      </c>
      <c r="B8">
        <v>274.70594</v>
      </c>
      <c r="C8">
        <v>0</v>
      </c>
      <c r="D8">
        <v>-7.40000000001828E-3</v>
      </c>
      <c r="E8" s="1">
        <v>45846</v>
      </c>
      <c r="F8">
        <v>227701400</v>
      </c>
      <c r="G8">
        <v>4</v>
      </c>
      <c r="H8">
        <v>9.6293570000000006</v>
      </c>
      <c r="I8">
        <v>49.679529666699999</v>
      </c>
      <c r="J8">
        <v>4.6670000000000003E-2</v>
      </c>
      <c r="K8">
        <v>100.71</v>
      </c>
      <c r="L8">
        <v>-1223.46</v>
      </c>
      <c r="M8">
        <v>158.76</v>
      </c>
      <c r="N8">
        <v>167.4</v>
      </c>
      <c r="O8">
        <v>33800</v>
      </c>
      <c r="P8">
        <v>1.7999999999999999E-2</v>
      </c>
      <c r="Q8">
        <v>1.38599999999939E-2</v>
      </c>
      <c r="R8">
        <v>66.80462</v>
      </c>
      <c r="S8">
        <v>0</v>
      </c>
      <c r="T8">
        <v>-8.0499999999972208E-3</v>
      </c>
      <c r="U8" s="1">
        <v>45846</v>
      </c>
      <c r="V8">
        <v>227701400</v>
      </c>
      <c r="W8">
        <v>4</v>
      </c>
      <c r="X8">
        <v>9.6296828333000004</v>
      </c>
      <c r="Y8">
        <v>49.679563999999999</v>
      </c>
      <c r="Z8">
        <v>4.6690000000000002E-2</v>
      </c>
      <c r="AA8">
        <v>483.35</v>
      </c>
      <c r="AB8">
        <v>1127.98</v>
      </c>
      <c r="AC8">
        <v>164.69</v>
      </c>
      <c r="AD8">
        <v>167.3</v>
      </c>
      <c r="AE8">
        <v>33790</v>
      </c>
      <c r="AF8">
        <v>2.1000000000000001E-2</v>
      </c>
      <c r="AG8">
        <v>9.6295265000000008</v>
      </c>
      <c r="AH8">
        <v>49.679520500000002</v>
      </c>
      <c r="AI8">
        <v>12</v>
      </c>
      <c r="AJ8">
        <v>0.49</v>
      </c>
      <c r="AK8">
        <v>169</v>
      </c>
      <c r="AL8">
        <v>227701400</v>
      </c>
      <c r="AM8">
        <v>6.0000000000000001E-3</v>
      </c>
    </row>
    <row r="9" spans="1:39" x14ac:dyDescent="0.25">
      <c r="A9">
        <v>-1.05399999999917E-2</v>
      </c>
      <c r="B9">
        <v>274.71037999999999</v>
      </c>
      <c r="C9">
        <v>0</v>
      </c>
      <c r="D9">
        <v>4.4399999999882303E-3</v>
      </c>
      <c r="E9" s="1">
        <v>45846</v>
      </c>
      <c r="F9">
        <v>227701600</v>
      </c>
      <c r="G9">
        <v>4</v>
      </c>
      <c r="H9">
        <v>9.6293570000000006</v>
      </c>
      <c r="I9">
        <v>49.679529666699999</v>
      </c>
      <c r="J9">
        <v>4.6679999999999999E-2</v>
      </c>
      <c r="K9">
        <v>100.8</v>
      </c>
      <c r="L9">
        <v>-1223.33</v>
      </c>
      <c r="M9">
        <v>158.85</v>
      </c>
      <c r="N9">
        <v>167.4</v>
      </c>
      <c r="O9">
        <v>33800</v>
      </c>
      <c r="P9">
        <v>2.3E-2</v>
      </c>
      <c r="Q9">
        <v>1.7209999999991499E-2</v>
      </c>
      <c r="R9">
        <v>66.807969999999997</v>
      </c>
      <c r="S9">
        <v>0</v>
      </c>
      <c r="T9">
        <v>3.3499999999975199E-3</v>
      </c>
      <c r="U9" s="1">
        <v>45846</v>
      </c>
      <c r="V9">
        <v>227701600</v>
      </c>
      <c r="W9">
        <v>4</v>
      </c>
      <c r="X9">
        <v>9.6296826667000008</v>
      </c>
      <c r="Y9">
        <v>49.679563999999999</v>
      </c>
      <c r="Z9">
        <v>4.6690000000000002E-2</v>
      </c>
      <c r="AA9">
        <v>483.28</v>
      </c>
      <c r="AB9">
        <v>1128</v>
      </c>
      <c r="AC9">
        <v>164.87</v>
      </c>
      <c r="AD9">
        <v>167.3</v>
      </c>
      <c r="AE9">
        <v>33790</v>
      </c>
      <c r="AF9">
        <v>2.9000000000000001E-2</v>
      </c>
      <c r="AG9">
        <v>9.6295265000000008</v>
      </c>
      <c r="AH9">
        <v>49.6795206667</v>
      </c>
      <c r="AI9">
        <v>12</v>
      </c>
      <c r="AJ9">
        <v>0.49</v>
      </c>
      <c r="AK9">
        <v>169</v>
      </c>
      <c r="AL9">
        <v>227701600</v>
      </c>
      <c r="AM9">
        <v>3.7999999999999999E-2</v>
      </c>
    </row>
    <row r="10" spans="1:39" x14ac:dyDescent="0.25">
      <c r="A10">
        <v>7.0800000000303901E-3</v>
      </c>
      <c r="B10">
        <v>274.72800000000001</v>
      </c>
      <c r="C10">
        <v>-3.9027020006036899E-3</v>
      </c>
      <c r="D10">
        <v>1.7620000000022101E-2</v>
      </c>
      <c r="E10" s="1">
        <v>45846</v>
      </c>
      <c r="F10">
        <v>227701800</v>
      </c>
      <c r="G10">
        <v>4</v>
      </c>
      <c r="H10">
        <v>9.6293570000000006</v>
      </c>
      <c r="I10">
        <v>49.679529666699999</v>
      </c>
      <c r="J10">
        <v>4.6679999999999999E-2</v>
      </c>
      <c r="K10">
        <v>101.16</v>
      </c>
      <c r="L10">
        <v>-1223.1600000000001</v>
      </c>
      <c r="M10">
        <v>159.35</v>
      </c>
      <c r="N10">
        <v>167.4</v>
      </c>
      <c r="O10">
        <v>33800</v>
      </c>
      <c r="P10">
        <v>4.2000000000000003E-2</v>
      </c>
      <c r="Q10">
        <v>1.6749999999987601E-2</v>
      </c>
      <c r="R10">
        <v>66.807509999999994</v>
      </c>
      <c r="S10">
        <v>8.4632501950334497E-3</v>
      </c>
      <c r="T10">
        <v>-4.6000000000390097E-4</v>
      </c>
      <c r="U10" s="1">
        <v>45846</v>
      </c>
      <c r="V10">
        <v>227701800</v>
      </c>
      <c r="W10">
        <v>4</v>
      </c>
      <c r="X10">
        <v>9.6296826667000008</v>
      </c>
      <c r="Y10">
        <v>49.679563999999999</v>
      </c>
      <c r="Z10">
        <v>4.6690000000000002E-2</v>
      </c>
      <c r="AA10">
        <v>483.27</v>
      </c>
      <c r="AB10">
        <v>1127.97</v>
      </c>
      <c r="AC10">
        <v>164.72</v>
      </c>
      <c r="AD10">
        <v>167.3</v>
      </c>
      <c r="AE10">
        <v>33790</v>
      </c>
      <c r="AF10">
        <v>4.3999999999999997E-2</v>
      </c>
      <c r="AG10">
        <v>9.6295265000000008</v>
      </c>
      <c r="AH10">
        <v>49.6795206667</v>
      </c>
      <c r="AI10">
        <v>12</v>
      </c>
      <c r="AJ10">
        <v>0.49</v>
      </c>
      <c r="AK10">
        <v>169</v>
      </c>
      <c r="AL10">
        <v>227701800</v>
      </c>
      <c r="AM10">
        <v>1.2E-2</v>
      </c>
    </row>
    <row r="11" spans="1:39" x14ac:dyDescent="0.25">
      <c r="A11">
        <v>5.6400000000280601E-3</v>
      </c>
      <c r="B11">
        <v>274.72656000000001</v>
      </c>
      <c r="C11">
        <v>-3.4224242423271998E-3</v>
      </c>
      <c r="D11">
        <v>-1.4400000000023201E-3</v>
      </c>
      <c r="E11" s="1">
        <v>45846</v>
      </c>
      <c r="F11">
        <v>227702000</v>
      </c>
      <c r="G11">
        <v>4</v>
      </c>
      <c r="H11">
        <v>9.6293570000000006</v>
      </c>
      <c r="I11">
        <v>49.679529666699999</v>
      </c>
      <c r="J11">
        <v>4.6679999999999999E-2</v>
      </c>
      <c r="K11">
        <v>101.14</v>
      </c>
      <c r="L11">
        <v>-1223.24</v>
      </c>
      <c r="M11">
        <v>159.13999999999999</v>
      </c>
      <c r="N11">
        <v>167.4</v>
      </c>
      <c r="O11">
        <v>33800</v>
      </c>
      <c r="P11">
        <v>8.0000000000000002E-3</v>
      </c>
      <c r="Q11">
        <v>5.4499999999961801E-3</v>
      </c>
      <c r="R11">
        <v>66.796210000000002</v>
      </c>
      <c r="S11">
        <v>8.3900000000307392E-3</v>
      </c>
      <c r="T11">
        <v>-1.12999999999914E-2</v>
      </c>
      <c r="U11" s="1">
        <v>45846</v>
      </c>
      <c r="V11">
        <v>227702000</v>
      </c>
      <c r="W11">
        <v>4</v>
      </c>
      <c r="X11">
        <v>9.6296826667000008</v>
      </c>
      <c r="Y11">
        <v>49.679564166699997</v>
      </c>
      <c r="Z11">
        <v>4.6699999999999998E-2</v>
      </c>
      <c r="AA11">
        <v>483.43</v>
      </c>
      <c r="AB11">
        <v>1127.73</v>
      </c>
      <c r="AC11">
        <v>164.74</v>
      </c>
      <c r="AD11">
        <v>167.3</v>
      </c>
      <c r="AE11">
        <v>33790</v>
      </c>
      <c r="AF11">
        <v>0.01</v>
      </c>
      <c r="AG11">
        <v>9.6295265000000008</v>
      </c>
      <c r="AH11">
        <v>49.6795206667</v>
      </c>
      <c r="AI11">
        <v>12</v>
      </c>
      <c r="AJ11">
        <v>0.49</v>
      </c>
      <c r="AK11">
        <v>169</v>
      </c>
      <c r="AL11">
        <v>227702000</v>
      </c>
      <c r="AM11">
        <v>2.3E-2</v>
      </c>
    </row>
    <row r="12" spans="1:39" x14ac:dyDescent="0.25">
      <c r="A12">
        <v>1.8000000000029099E-3</v>
      </c>
      <c r="B12">
        <v>274.72271999999998</v>
      </c>
      <c r="C12">
        <v>-2.6418181819040099E-3</v>
      </c>
      <c r="D12">
        <v>-3.8400000000251501E-3</v>
      </c>
      <c r="E12" s="1">
        <v>45846</v>
      </c>
      <c r="F12">
        <v>227702200</v>
      </c>
      <c r="G12">
        <v>4</v>
      </c>
      <c r="H12">
        <v>9.6293570000000006</v>
      </c>
      <c r="I12">
        <v>49.679529666699999</v>
      </c>
      <c r="J12">
        <v>4.6679999999999999E-2</v>
      </c>
      <c r="K12">
        <v>101.06</v>
      </c>
      <c r="L12">
        <v>-1223.22</v>
      </c>
      <c r="M12">
        <v>159.26</v>
      </c>
      <c r="N12">
        <v>167.4</v>
      </c>
      <c r="O12">
        <v>33800</v>
      </c>
      <c r="P12">
        <v>2.7E-2</v>
      </c>
      <c r="Q12">
        <v>7.2499999999990896E-3</v>
      </c>
      <c r="R12">
        <v>66.798010000000005</v>
      </c>
      <c r="S12">
        <v>5.0503030302209498E-3</v>
      </c>
      <c r="T12">
        <v>1.8000000000029099E-3</v>
      </c>
      <c r="U12" s="1">
        <v>45846</v>
      </c>
      <c r="V12">
        <v>227702200</v>
      </c>
      <c r="W12">
        <v>4</v>
      </c>
      <c r="X12">
        <v>9.6296826667000008</v>
      </c>
      <c r="Y12">
        <v>49.679564166699997</v>
      </c>
      <c r="Z12">
        <v>4.6699999999999998E-2</v>
      </c>
      <c r="AA12">
        <v>483.41</v>
      </c>
      <c r="AB12">
        <v>1127.77</v>
      </c>
      <c r="AC12">
        <v>164.84</v>
      </c>
      <c r="AD12">
        <v>167.3</v>
      </c>
      <c r="AE12">
        <v>33790</v>
      </c>
      <c r="AF12">
        <v>1.9E-2</v>
      </c>
      <c r="AG12">
        <v>9.6295265000000008</v>
      </c>
      <c r="AH12">
        <v>49.6795206667</v>
      </c>
      <c r="AI12">
        <v>12</v>
      </c>
      <c r="AJ12">
        <v>0.49</v>
      </c>
      <c r="AK12">
        <v>169</v>
      </c>
      <c r="AL12">
        <v>227702200</v>
      </c>
      <c r="AM12">
        <v>2.9000000000000001E-2</v>
      </c>
    </row>
    <row r="13" spans="1:39" x14ac:dyDescent="0.25">
      <c r="A13">
        <v>1.5200000000277201E-3</v>
      </c>
      <c r="B13">
        <v>274.72244000000001</v>
      </c>
      <c r="C13">
        <v>3.7333333221476302E-4</v>
      </c>
      <c r="D13">
        <v>-2.7999999997518898E-4</v>
      </c>
      <c r="E13" s="1">
        <v>45846</v>
      </c>
      <c r="F13">
        <v>227702400</v>
      </c>
      <c r="G13">
        <v>4</v>
      </c>
      <c r="H13">
        <v>9.6293570000000006</v>
      </c>
      <c r="I13">
        <v>49.679529833300002</v>
      </c>
      <c r="J13">
        <v>4.6679999999999999E-2</v>
      </c>
      <c r="K13">
        <v>101.04</v>
      </c>
      <c r="L13">
        <v>-1223.1300000000001</v>
      </c>
      <c r="M13">
        <v>159.01</v>
      </c>
      <c r="N13">
        <v>167.4</v>
      </c>
      <c r="O13">
        <v>33800</v>
      </c>
      <c r="P13">
        <v>0.01</v>
      </c>
      <c r="Q13">
        <v>-7.9000000000917204E-4</v>
      </c>
      <c r="R13">
        <v>66.789969999999997</v>
      </c>
      <c r="S13">
        <v>1.3884848491260201E-3</v>
      </c>
      <c r="T13">
        <v>-8.0400000000082593E-3</v>
      </c>
      <c r="U13" s="1">
        <v>45846</v>
      </c>
      <c r="V13">
        <v>227702400</v>
      </c>
      <c r="W13">
        <v>4</v>
      </c>
      <c r="X13">
        <v>9.6296826667000008</v>
      </c>
      <c r="Y13">
        <v>49.679564166699997</v>
      </c>
      <c r="Z13">
        <v>4.6690000000000002E-2</v>
      </c>
      <c r="AA13">
        <v>483.67</v>
      </c>
      <c r="AB13">
        <v>1127.95</v>
      </c>
      <c r="AC13">
        <v>165.03</v>
      </c>
      <c r="AD13">
        <v>167.3</v>
      </c>
      <c r="AE13">
        <v>33790</v>
      </c>
      <c r="AF13">
        <v>2.7E-2</v>
      </c>
      <c r="AG13">
        <v>9.6295263332999994</v>
      </c>
      <c r="AH13">
        <v>49.6795206667</v>
      </c>
      <c r="AI13">
        <v>12</v>
      </c>
      <c r="AJ13">
        <v>0.49</v>
      </c>
      <c r="AK13">
        <v>169</v>
      </c>
      <c r="AL13">
        <v>227702400</v>
      </c>
      <c r="AM13">
        <v>3.1E-2</v>
      </c>
    </row>
    <row r="14" spans="1:39" x14ac:dyDescent="0.25">
      <c r="A14">
        <v>4.0000000001327803E-4</v>
      </c>
      <c r="B14">
        <v>274.72131999999999</v>
      </c>
      <c r="C14">
        <v>5.1575757569865899E-3</v>
      </c>
      <c r="D14">
        <v>-1.12000000001444E-3</v>
      </c>
      <c r="E14" s="1">
        <v>45846</v>
      </c>
      <c r="F14">
        <v>227702600</v>
      </c>
      <c r="G14">
        <v>4</v>
      </c>
      <c r="H14">
        <v>9.6293570000000006</v>
      </c>
      <c r="I14">
        <v>49.679529833300002</v>
      </c>
      <c r="J14">
        <v>4.6679999999999999E-2</v>
      </c>
      <c r="K14">
        <v>101.03</v>
      </c>
      <c r="L14">
        <v>-1223.27</v>
      </c>
      <c r="M14">
        <v>159.05000000000001</v>
      </c>
      <c r="N14">
        <v>167.4</v>
      </c>
      <c r="O14">
        <v>33800</v>
      </c>
      <c r="P14">
        <v>1.7000000000000001E-2</v>
      </c>
      <c r="Q14">
        <v>-9.4800000000105893E-3</v>
      </c>
      <c r="R14">
        <v>66.781279999999995</v>
      </c>
      <c r="S14">
        <v>-7.0254545442467297E-3</v>
      </c>
      <c r="T14">
        <v>-8.6900000000014101E-3</v>
      </c>
      <c r="U14" s="1">
        <v>45846</v>
      </c>
      <c r="V14">
        <v>227702600</v>
      </c>
      <c r="W14">
        <v>4</v>
      </c>
      <c r="X14">
        <v>9.6296826667000008</v>
      </c>
      <c r="Y14">
        <v>49.679564166699997</v>
      </c>
      <c r="Z14">
        <v>4.6690000000000002E-2</v>
      </c>
      <c r="AA14">
        <v>483.8</v>
      </c>
      <c r="AB14">
        <v>1127.78</v>
      </c>
      <c r="AC14">
        <v>164.92</v>
      </c>
      <c r="AD14">
        <v>167.3</v>
      </c>
      <c r="AE14">
        <v>33790</v>
      </c>
      <c r="AF14">
        <v>2.9000000000000001E-2</v>
      </c>
      <c r="AG14">
        <v>9.6295263332999994</v>
      </c>
      <c r="AH14">
        <v>49.679520833300003</v>
      </c>
      <c r="AI14">
        <v>12</v>
      </c>
      <c r="AJ14">
        <v>0.49</v>
      </c>
      <c r="AK14">
        <v>169</v>
      </c>
      <c r="AL14">
        <v>227702600</v>
      </c>
      <c r="AM14">
        <v>0.06</v>
      </c>
    </row>
    <row r="15" spans="1:39" x14ac:dyDescent="0.25">
      <c r="A15">
        <v>3.6000000000058199E-3</v>
      </c>
      <c r="B15">
        <v>274.72451999999998</v>
      </c>
      <c r="C15">
        <v>7.2509090909153896E-3</v>
      </c>
      <c r="D15">
        <v>3.19999999999254E-3</v>
      </c>
      <c r="E15" s="1">
        <v>45846</v>
      </c>
      <c r="F15">
        <v>227702800</v>
      </c>
      <c r="G15">
        <v>4</v>
      </c>
      <c r="H15">
        <v>9.6293568332999993</v>
      </c>
      <c r="I15">
        <v>49.679529833300002</v>
      </c>
      <c r="J15">
        <v>4.6679999999999999E-2</v>
      </c>
      <c r="K15">
        <v>101.09</v>
      </c>
      <c r="L15">
        <v>-1223.1199999999999</v>
      </c>
      <c r="M15">
        <v>158.97999999999999</v>
      </c>
      <c r="N15">
        <v>167.4</v>
      </c>
      <c r="O15">
        <v>33800</v>
      </c>
      <c r="P15">
        <v>0.02</v>
      </c>
      <c r="Q15">
        <v>-1.0290000000011901E-2</v>
      </c>
      <c r="R15">
        <v>66.780469999999994</v>
      </c>
      <c r="S15">
        <v>-1.6090606060471701E-2</v>
      </c>
      <c r="T15">
        <v>-8.1000000000130902E-4</v>
      </c>
      <c r="U15" s="1">
        <v>45846</v>
      </c>
      <c r="V15">
        <v>227702800</v>
      </c>
      <c r="W15">
        <v>4</v>
      </c>
      <c r="X15">
        <v>9.6296826667000008</v>
      </c>
      <c r="Y15">
        <v>49.6795643333</v>
      </c>
      <c r="Z15">
        <v>4.6679999999999999E-2</v>
      </c>
      <c r="AA15">
        <v>483.89</v>
      </c>
      <c r="AB15">
        <v>1127.94</v>
      </c>
      <c r="AC15">
        <v>164.92</v>
      </c>
      <c r="AD15">
        <v>167.3</v>
      </c>
      <c r="AE15">
        <v>33790</v>
      </c>
      <c r="AF15">
        <v>2.3E-2</v>
      </c>
      <c r="AG15">
        <v>9.6295263332999994</v>
      </c>
      <c r="AH15">
        <v>49.679520833300003</v>
      </c>
      <c r="AI15">
        <v>12</v>
      </c>
      <c r="AJ15">
        <v>0.49</v>
      </c>
      <c r="AK15">
        <v>169</v>
      </c>
      <c r="AL15">
        <v>227702800</v>
      </c>
      <c r="AM15">
        <v>2.9000000000000001E-2</v>
      </c>
    </row>
    <row r="16" spans="1:39" x14ac:dyDescent="0.25">
      <c r="A16">
        <v>-3.8799999999810002E-3</v>
      </c>
      <c r="B16">
        <v>274.71704</v>
      </c>
      <c r="C16">
        <v>5.9860606064460996E-3</v>
      </c>
      <c r="D16">
        <v>-7.4799999999868296E-3</v>
      </c>
      <c r="E16" s="1">
        <v>45846</v>
      </c>
      <c r="F16">
        <v>227703000</v>
      </c>
      <c r="G16">
        <v>4</v>
      </c>
      <c r="H16">
        <v>9.6293568332999993</v>
      </c>
      <c r="I16">
        <v>49.679529833300002</v>
      </c>
      <c r="J16">
        <v>4.6690000000000002E-2</v>
      </c>
      <c r="K16">
        <v>100.92</v>
      </c>
      <c r="L16">
        <v>-1223.0999999999999</v>
      </c>
      <c r="M16">
        <v>159.29</v>
      </c>
      <c r="N16">
        <v>167.4</v>
      </c>
      <c r="O16">
        <v>33800</v>
      </c>
      <c r="P16">
        <v>3.6999999999999998E-2</v>
      </c>
      <c r="Q16">
        <v>2.10999999998762E-3</v>
      </c>
      <c r="R16">
        <v>66.792869999999994</v>
      </c>
      <c r="S16">
        <v>-1.6106666667840799E-2</v>
      </c>
      <c r="T16">
        <v>1.23999999999995E-2</v>
      </c>
      <c r="U16" s="1">
        <v>45846</v>
      </c>
      <c r="V16">
        <v>227703000</v>
      </c>
      <c r="W16">
        <v>4</v>
      </c>
      <c r="X16">
        <v>9.6296824999999995</v>
      </c>
      <c r="Y16">
        <v>49.6795643333</v>
      </c>
      <c r="Z16">
        <v>4.6699999999999998E-2</v>
      </c>
      <c r="AA16">
        <v>483.47</v>
      </c>
      <c r="AB16">
        <v>1127.6400000000001</v>
      </c>
      <c r="AC16">
        <v>163.93</v>
      </c>
      <c r="AD16">
        <v>167.3</v>
      </c>
      <c r="AE16">
        <v>33790</v>
      </c>
      <c r="AF16">
        <v>2.1000000000000001E-2</v>
      </c>
      <c r="AG16">
        <v>9.6295263332999994</v>
      </c>
      <c r="AH16">
        <v>49.679520833300003</v>
      </c>
      <c r="AI16">
        <v>12</v>
      </c>
      <c r="AJ16">
        <v>0.49</v>
      </c>
      <c r="AK16">
        <v>169</v>
      </c>
      <c r="AL16">
        <v>227703000</v>
      </c>
      <c r="AM16">
        <v>3.1E-2</v>
      </c>
    </row>
    <row r="17" spans="1:39" x14ac:dyDescent="0.25">
      <c r="A17">
        <v>-8.0199999999877002E-3</v>
      </c>
      <c r="B17">
        <v>274.71289999999999</v>
      </c>
      <c r="C17">
        <v>2.2987878786418598E-3</v>
      </c>
      <c r="D17">
        <v>-4.1400000000066904E-3</v>
      </c>
      <c r="E17" s="1">
        <v>45846</v>
      </c>
      <c r="F17">
        <v>227703200</v>
      </c>
      <c r="G17">
        <v>4</v>
      </c>
      <c r="H17">
        <v>9.6293568332999993</v>
      </c>
      <c r="I17">
        <v>49.679529833300002</v>
      </c>
      <c r="J17">
        <v>4.6679999999999999E-2</v>
      </c>
      <c r="K17">
        <v>100.85</v>
      </c>
      <c r="L17">
        <v>-1223.3499999999999</v>
      </c>
      <c r="M17">
        <v>158.66999999999999</v>
      </c>
      <c r="N17">
        <v>167.4</v>
      </c>
      <c r="O17">
        <v>33800</v>
      </c>
      <c r="P17">
        <v>2.4E-2</v>
      </c>
      <c r="Q17">
        <v>-1.2190000000003901E-2</v>
      </c>
      <c r="R17">
        <v>66.778570000000002</v>
      </c>
      <c r="S17">
        <v>-1.6005454545526501E-2</v>
      </c>
      <c r="T17">
        <v>-1.42999999999915E-2</v>
      </c>
      <c r="U17" s="1">
        <v>45846</v>
      </c>
      <c r="V17">
        <v>227703200</v>
      </c>
      <c r="W17">
        <v>4</v>
      </c>
      <c r="X17">
        <v>9.6296826667000008</v>
      </c>
      <c r="Y17">
        <v>49.6795643333</v>
      </c>
      <c r="Z17">
        <v>4.6679999999999999E-2</v>
      </c>
      <c r="AA17">
        <v>483.9</v>
      </c>
      <c r="AB17">
        <v>1127.8599999999999</v>
      </c>
      <c r="AC17">
        <v>165.05</v>
      </c>
      <c r="AD17">
        <v>167.3</v>
      </c>
      <c r="AE17">
        <v>33790</v>
      </c>
      <c r="AF17">
        <v>1.2999999999999999E-2</v>
      </c>
      <c r="AG17">
        <v>9.6295263332999994</v>
      </c>
      <c r="AH17">
        <v>49.679520833300003</v>
      </c>
      <c r="AI17">
        <v>12</v>
      </c>
      <c r="AJ17">
        <v>0.49</v>
      </c>
      <c r="AK17">
        <v>169</v>
      </c>
      <c r="AL17">
        <v>227703200</v>
      </c>
      <c r="AM17">
        <v>3.6999999999999998E-2</v>
      </c>
    </row>
    <row r="18" spans="1:39" x14ac:dyDescent="0.25">
      <c r="A18">
        <v>-9.5000000000027198E-3</v>
      </c>
      <c r="B18">
        <v>274.71141999999998</v>
      </c>
      <c r="C18">
        <v>-4.2321212116658603E-3</v>
      </c>
      <c r="D18">
        <v>-1.4800000000150201E-3</v>
      </c>
      <c r="E18" s="1">
        <v>45846</v>
      </c>
      <c r="F18">
        <v>227703400</v>
      </c>
      <c r="G18">
        <v>4</v>
      </c>
      <c r="H18">
        <v>9.6293568332999993</v>
      </c>
      <c r="I18">
        <v>49.67953</v>
      </c>
      <c r="J18">
        <v>4.6679999999999999E-2</v>
      </c>
      <c r="K18">
        <v>100.81</v>
      </c>
      <c r="L18">
        <v>-1223.18</v>
      </c>
      <c r="M18">
        <v>158.96</v>
      </c>
      <c r="N18">
        <v>167.4</v>
      </c>
      <c r="O18">
        <v>33800</v>
      </c>
      <c r="P18">
        <v>2.1000000000000001E-2</v>
      </c>
      <c r="Q18">
        <v>-1.8730000000005E-2</v>
      </c>
      <c r="R18">
        <v>66.772030000000001</v>
      </c>
      <c r="S18">
        <v>-1.8304545454047E-2</v>
      </c>
      <c r="T18">
        <v>-6.5400000000010996E-3</v>
      </c>
      <c r="U18" s="1">
        <v>45846</v>
      </c>
      <c r="V18">
        <v>227703400</v>
      </c>
      <c r="W18">
        <v>4</v>
      </c>
      <c r="X18">
        <v>9.6296824999999995</v>
      </c>
      <c r="Y18">
        <v>49.6795643333</v>
      </c>
      <c r="Z18">
        <v>4.6690000000000002E-2</v>
      </c>
      <c r="AA18">
        <v>483.95</v>
      </c>
      <c r="AB18">
        <v>1127.6099999999999</v>
      </c>
      <c r="AC18">
        <v>164.81</v>
      </c>
      <c r="AD18">
        <v>167.3</v>
      </c>
      <c r="AE18">
        <v>33790</v>
      </c>
      <c r="AF18">
        <v>4.2000000000000003E-2</v>
      </c>
      <c r="AG18">
        <v>9.6295261666999998</v>
      </c>
      <c r="AH18">
        <v>49.679520833300003</v>
      </c>
      <c r="AI18">
        <v>12</v>
      </c>
      <c r="AJ18">
        <v>0.49</v>
      </c>
      <c r="AK18">
        <v>169</v>
      </c>
      <c r="AL18">
        <v>227703400</v>
      </c>
      <c r="AM18">
        <v>6.8000000000000005E-2</v>
      </c>
    </row>
    <row r="19" spans="1:39" x14ac:dyDescent="0.25">
      <c r="A19">
        <v>-2.2459999999966802E-2</v>
      </c>
      <c r="B19">
        <v>274.69846000000001</v>
      </c>
      <c r="C19">
        <v>-1.31496969694508E-2</v>
      </c>
      <c r="D19">
        <v>-1.2959999999964099E-2</v>
      </c>
      <c r="E19" s="1">
        <v>45846</v>
      </c>
      <c r="F19">
        <v>227703600</v>
      </c>
      <c r="G19">
        <v>4</v>
      </c>
      <c r="H19">
        <v>9.6293568332999993</v>
      </c>
      <c r="I19">
        <v>49.67953</v>
      </c>
      <c r="J19">
        <v>4.6690000000000002E-2</v>
      </c>
      <c r="K19">
        <v>100.52</v>
      </c>
      <c r="L19">
        <v>-1223.08</v>
      </c>
      <c r="M19">
        <v>159.21</v>
      </c>
      <c r="N19">
        <v>167.4</v>
      </c>
      <c r="O19">
        <v>33800</v>
      </c>
      <c r="P19">
        <v>4.7E-2</v>
      </c>
      <c r="Q19">
        <v>-2.1810000000002099E-2</v>
      </c>
      <c r="R19">
        <v>66.768950000000004</v>
      </c>
      <c r="S19">
        <v>-1.8351818181677401E-2</v>
      </c>
      <c r="T19">
        <v>-3.0799999999970799E-3</v>
      </c>
      <c r="U19" s="1">
        <v>45846</v>
      </c>
      <c r="V19">
        <v>227703600</v>
      </c>
      <c r="W19">
        <v>4</v>
      </c>
      <c r="X19">
        <v>9.6296824999999995</v>
      </c>
      <c r="Y19">
        <v>49.679564499999998</v>
      </c>
      <c r="Z19">
        <v>4.6690000000000002E-2</v>
      </c>
      <c r="AA19">
        <v>484.05</v>
      </c>
      <c r="AB19">
        <v>1127.68</v>
      </c>
      <c r="AC19">
        <v>164.94</v>
      </c>
      <c r="AD19">
        <v>167.3</v>
      </c>
      <c r="AE19">
        <v>33790</v>
      </c>
      <c r="AF19">
        <v>3.6999999999999998E-2</v>
      </c>
      <c r="AG19">
        <v>9.6295261666999998</v>
      </c>
      <c r="AH19">
        <v>49.679520833300003</v>
      </c>
      <c r="AI19">
        <v>12</v>
      </c>
      <c r="AJ19">
        <v>0.49</v>
      </c>
      <c r="AK19">
        <v>169</v>
      </c>
      <c r="AL19">
        <v>227703600</v>
      </c>
      <c r="AM19">
        <v>0.1</v>
      </c>
    </row>
    <row r="20" spans="1:39" x14ac:dyDescent="0.25">
      <c r="A20">
        <v>-9.4599999999900302E-3</v>
      </c>
      <c r="B20">
        <v>274.71145999999999</v>
      </c>
      <c r="C20">
        <v>-1.1926060607803801E-2</v>
      </c>
      <c r="D20">
        <v>1.2999999999976799E-2</v>
      </c>
      <c r="E20" s="1">
        <v>45846</v>
      </c>
      <c r="F20">
        <v>227703800</v>
      </c>
      <c r="G20">
        <v>4</v>
      </c>
      <c r="H20">
        <v>9.6293568332999993</v>
      </c>
      <c r="I20">
        <v>49.67953</v>
      </c>
      <c r="J20">
        <v>4.6690000000000002E-2</v>
      </c>
      <c r="K20">
        <v>100.79</v>
      </c>
      <c r="L20">
        <v>-1222.95</v>
      </c>
      <c r="M20">
        <v>159.30000000000001</v>
      </c>
      <c r="N20">
        <v>167.4</v>
      </c>
      <c r="O20">
        <v>33800</v>
      </c>
      <c r="P20">
        <v>4.3999999999999997E-2</v>
      </c>
      <c r="Q20">
        <v>-1.20600000000052E-2</v>
      </c>
      <c r="R20">
        <v>66.778700000000001</v>
      </c>
      <c r="S20">
        <v>-1.3528484850119499E-2</v>
      </c>
      <c r="T20">
        <v>9.7499999999968098E-3</v>
      </c>
      <c r="U20" s="1">
        <v>45846</v>
      </c>
      <c r="V20">
        <v>227703800</v>
      </c>
      <c r="W20">
        <v>4</v>
      </c>
      <c r="X20">
        <v>9.6296824999999995</v>
      </c>
      <c r="Y20">
        <v>49.6795643333</v>
      </c>
      <c r="Z20">
        <v>4.6699999999999998E-2</v>
      </c>
      <c r="AA20">
        <v>483.74</v>
      </c>
      <c r="AB20">
        <v>1127.49</v>
      </c>
      <c r="AC20">
        <v>164.23</v>
      </c>
      <c r="AD20">
        <v>167.3</v>
      </c>
      <c r="AE20">
        <v>33790</v>
      </c>
      <c r="AF20">
        <v>1.2E-2</v>
      </c>
      <c r="AG20">
        <v>9.6295261666999998</v>
      </c>
      <c r="AH20">
        <v>49.679520833300003</v>
      </c>
      <c r="AI20">
        <v>12</v>
      </c>
      <c r="AJ20">
        <v>0.49</v>
      </c>
      <c r="AK20">
        <v>169</v>
      </c>
      <c r="AL20">
        <v>227703800</v>
      </c>
      <c r="AM20">
        <v>8.0000000000000002E-3</v>
      </c>
    </row>
    <row r="21" spans="1:39" x14ac:dyDescent="0.25">
      <c r="A21">
        <v>-1.7399999999838599E-3</v>
      </c>
      <c r="B21">
        <v>274.71917999999999</v>
      </c>
      <c r="C21">
        <v>-8.0745454551727699E-3</v>
      </c>
      <c r="D21">
        <v>7.7200000000061603E-3</v>
      </c>
      <c r="E21" s="1">
        <v>45846</v>
      </c>
      <c r="F21">
        <v>227704000</v>
      </c>
      <c r="G21">
        <v>4</v>
      </c>
      <c r="H21">
        <v>9.6293568332999993</v>
      </c>
      <c r="I21">
        <v>49.67953</v>
      </c>
      <c r="J21">
        <v>4.6690000000000002E-2</v>
      </c>
      <c r="K21">
        <v>100.96</v>
      </c>
      <c r="L21">
        <v>-1222.98</v>
      </c>
      <c r="M21">
        <v>159.22</v>
      </c>
      <c r="N21">
        <v>167.4</v>
      </c>
      <c r="O21">
        <v>33800</v>
      </c>
      <c r="P21">
        <v>7.0000000000000001E-3</v>
      </c>
      <c r="Q21">
        <v>-8.9400000000097093E-3</v>
      </c>
      <c r="R21">
        <v>66.781819999999996</v>
      </c>
      <c r="S21">
        <v>-9.8748484850249996E-3</v>
      </c>
      <c r="T21">
        <v>3.1199999999955699E-3</v>
      </c>
      <c r="U21" s="1">
        <v>45846</v>
      </c>
      <c r="V21">
        <v>227704000</v>
      </c>
      <c r="W21">
        <v>4</v>
      </c>
      <c r="X21">
        <v>9.6296824999999995</v>
      </c>
      <c r="Y21">
        <v>49.6795643333</v>
      </c>
      <c r="Z21">
        <v>4.6679999999999999E-2</v>
      </c>
      <c r="AA21">
        <v>483.84</v>
      </c>
      <c r="AB21">
        <v>1127.8900000000001</v>
      </c>
      <c r="AC21">
        <v>164.85</v>
      </c>
      <c r="AD21">
        <v>167.3</v>
      </c>
      <c r="AE21">
        <v>33790</v>
      </c>
      <c r="AF21">
        <v>1.9E-2</v>
      </c>
      <c r="AG21">
        <v>9.6295261666999998</v>
      </c>
      <c r="AH21">
        <v>49.679521000000001</v>
      </c>
      <c r="AI21">
        <v>12</v>
      </c>
      <c r="AJ21">
        <v>0.49</v>
      </c>
      <c r="AK21">
        <v>169</v>
      </c>
      <c r="AL21">
        <v>227704000</v>
      </c>
      <c r="AM21">
        <v>2.1000000000000001E-2</v>
      </c>
    </row>
    <row r="22" spans="1:39" x14ac:dyDescent="0.25">
      <c r="A22">
        <v>-7.0199999999545001E-3</v>
      </c>
      <c r="B22">
        <v>274.71390000000002</v>
      </c>
      <c r="C22">
        <v>-6.4957575760759799E-3</v>
      </c>
      <c r="D22">
        <v>-5.2799999999706398E-3</v>
      </c>
      <c r="E22" s="1">
        <v>45846</v>
      </c>
      <c r="F22">
        <v>227704200</v>
      </c>
      <c r="G22">
        <v>4</v>
      </c>
      <c r="H22">
        <v>9.6293568332999993</v>
      </c>
      <c r="I22">
        <v>49.67953</v>
      </c>
      <c r="J22">
        <v>4.6690000000000002E-2</v>
      </c>
      <c r="K22">
        <v>100.85</v>
      </c>
      <c r="L22">
        <v>-1223.01</v>
      </c>
      <c r="M22">
        <v>159.19</v>
      </c>
      <c r="N22">
        <v>167.4</v>
      </c>
      <c r="O22">
        <v>33800</v>
      </c>
      <c r="P22">
        <v>1.7000000000000001E-2</v>
      </c>
      <c r="Q22">
        <v>-1.05000000000075E-2</v>
      </c>
      <c r="R22">
        <v>66.780259999999998</v>
      </c>
      <c r="S22">
        <v>-5.1745454544838499E-3</v>
      </c>
      <c r="T22">
        <v>-1.55999999999778E-3</v>
      </c>
      <c r="U22" s="1">
        <v>45846</v>
      </c>
      <c r="V22">
        <v>227704200</v>
      </c>
      <c r="W22">
        <v>4</v>
      </c>
      <c r="X22">
        <v>9.6296824999999995</v>
      </c>
      <c r="Y22">
        <v>49.6795643333</v>
      </c>
      <c r="Z22">
        <v>4.6690000000000002E-2</v>
      </c>
      <c r="AA22">
        <v>483.85</v>
      </c>
      <c r="AB22">
        <v>1127.8399999999999</v>
      </c>
      <c r="AC22">
        <v>164.68</v>
      </c>
      <c r="AD22">
        <v>167.3</v>
      </c>
      <c r="AE22">
        <v>33790</v>
      </c>
      <c r="AF22">
        <v>3.2000000000000001E-2</v>
      </c>
      <c r="AG22">
        <v>9.6295261666999998</v>
      </c>
      <c r="AH22">
        <v>49.679521000000001</v>
      </c>
      <c r="AI22">
        <v>12</v>
      </c>
      <c r="AJ22">
        <v>0.49</v>
      </c>
      <c r="AK22">
        <v>169</v>
      </c>
      <c r="AL22">
        <v>227704200</v>
      </c>
      <c r="AM22">
        <v>6.4000000000000001E-2</v>
      </c>
    </row>
    <row r="23" spans="1:39" x14ac:dyDescent="0.25">
      <c r="A23">
        <v>-1.0719999999992E-2</v>
      </c>
      <c r="B23">
        <v>274.71019999999999</v>
      </c>
      <c r="C23">
        <v>-5.4848484850441104E-3</v>
      </c>
      <c r="D23">
        <v>-3.70000000003756E-3</v>
      </c>
      <c r="E23" s="1">
        <v>45846</v>
      </c>
      <c r="F23">
        <v>227704400</v>
      </c>
      <c r="G23">
        <v>4</v>
      </c>
      <c r="H23">
        <v>9.6293566666999997</v>
      </c>
      <c r="I23">
        <v>49.67953</v>
      </c>
      <c r="J23">
        <v>4.6679999999999999E-2</v>
      </c>
      <c r="K23">
        <v>100.79</v>
      </c>
      <c r="L23">
        <v>-1223.24</v>
      </c>
      <c r="M23">
        <v>159.19</v>
      </c>
      <c r="N23">
        <v>167.4</v>
      </c>
      <c r="O23">
        <v>33800</v>
      </c>
      <c r="P23">
        <v>2.5999999999999999E-2</v>
      </c>
      <c r="Q23">
        <v>-1.2080000000011601E-2</v>
      </c>
      <c r="R23">
        <v>66.778679999999994</v>
      </c>
      <c r="S23">
        <v>-2.5093939395256599E-3</v>
      </c>
      <c r="T23">
        <v>-1.58000000000413E-3</v>
      </c>
      <c r="U23" s="1">
        <v>45846</v>
      </c>
      <c r="V23">
        <v>227704400</v>
      </c>
      <c r="W23">
        <v>4</v>
      </c>
      <c r="X23">
        <v>9.6296824999999995</v>
      </c>
      <c r="Y23">
        <v>49.6795643333</v>
      </c>
      <c r="Z23">
        <v>4.6699999999999998E-2</v>
      </c>
      <c r="AA23">
        <v>483.75</v>
      </c>
      <c r="AB23">
        <v>1127.5</v>
      </c>
      <c r="AC23">
        <v>165.05</v>
      </c>
      <c r="AD23">
        <v>167.3</v>
      </c>
      <c r="AE23">
        <v>33790</v>
      </c>
      <c r="AF23">
        <v>0.04</v>
      </c>
      <c r="AG23">
        <v>9.6295261666999998</v>
      </c>
      <c r="AH23">
        <v>49.679521000000001</v>
      </c>
      <c r="AI23">
        <v>12</v>
      </c>
      <c r="AJ23">
        <v>0.49</v>
      </c>
      <c r="AK23">
        <v>169</v>
      </c>
      <c r="AL23">
        <v>227704400</v>
      </c>
      <c r="AM23">
        <v>0.02</v>
      </c>
    </row>
    <row r="24" spans="1:39" x14ac:dyDescent="0.25">
      <c r="A24">
        <v>-8.6999999999761695E-3</v>
      </c>
      <c r="B24">
        <v>274.71222</v>
      </c>
      <c r="C24">
        <v>-3.5545454542427499E-3</v>
      </c>
      <c r="D24">
        <v>2.0200000000158902E-3</v>
      </c>
      <c r="E24" s="1">
        <v>45846</v>
      </c>
      <c r="F24">
        <v>227704600</v>
      </c>
      <c r="G24">
        <v>4</v>
      </c>
      <c r="H24">
        <v>9.6293566666999997</v>
      </c>
      <c r="I24">
        <v>49.67953</v>
      </c>
      <c r="J24">
        <v>4.6690000000000002E-2</v>
      </c>
      <c r="K24">
        <v>100.81</v>
      </c>
      <c r="L24">
        <v>-1222.98</v>
      </c>
      <c r="M24">
        <v>159.30000000000001</v>
      </c>
      <c r="N24">
        <v>167.4</v>
      </c>
      <c r="O24">
        <v>33800</v>
      </c>
      <c r="P24">
        <v>1.9E-2</v>
      </c>
      <c r="Q24">
        <v>-1.6350000000002699E-2</v>
      </c>
      <c r="R24">
        <v>66.774410000000003</v>
      </c>
      <c r="S24">
        <v>-3.22121212135022E-3</v>
      </c>
      <c r="T24">
        <v>-4.2699999999911099E-3</v>
      </c>
      <c r="U24" s="1">
        <v>45846</v>
      </c>
      <c r="V24">
        <v>227704600</v>
      </c>
      <c r="W24">
        <v>4</v>
      </c>
      <c r="X24">
        <v>9.6296824999999995</v>
      </c>
      <c r="Y24">
        <v>49.679564499999998</v>
      </c>
      <c r="Z24">
        <v>4.6679999999999999E-2</v>
      </c>
      <c r="AA24">
        <v>483.99</v>
      </c>
      <c r="AB24">
        <v>1127.83</v>
      </c>
      <c r="AC24">
        <v>164.76</v>
      </c>
      <c r="AD24">
        <v>167.3</v>
      </c>
      <c r="AE24">
        <v>33790</v>
      </c>
      <c r="AF24">
        <v>7.5999999999999998E-2</v>
      </c>
      <c r="AG24">
        <v>9.6295261666999998</v>
      </c>
      <c r="AH24">
        <v>49.679521000000001</v>
      </c>
      <c r="AI24">
        <v>12</v>
      </c>
      <c r="AJ24">
        <v>0.49</v>
      </c>
      <c r="AK24">
        <v>169</v>
      </c>
      <c r="AL24">
        <v>227704600</v>
      </c>
      <c r="AM24">
        <v>1.6E-2</v>
      </c>
    </row>
    <row r="25" spans="1:39" x14ac:dyDescent="0.25">
      <c r="A25">
        <v>-1.15599999999744E-2</v>
      </c>
      <c r="B25">
        <v>274.70936</v>
      </c>
      <c r="C25">
        <v>-7.8606060574705602E-4</v>
      </c>
      <c r="D25">
        <v>-2.8599999999983001E-3</v>
      </c>
      <c r="E25" s="1">
        <v>45846</v>
      </c>
      <c r="F25">
        <v>227704800</v>
      </c>
      <c r="G25">
        <v>4</v>
      </c>
      <c r="H25">
        <v>9.6293566666999997</v>
      </c>
      <c r="I25">
        <v>49.679530166699998</v>
      </c>
      <c r="J25">
        <v>4.6690000000000002E-2</v>
      </c>
      <c r="K25">
        <v>100.75</v>
      </c>
      <c r="L25">
        <v>-1223.04</v>
      </c>
      <c r="M25">
        <v>158.97999999999999</v>
      </c>
      <c r="N25">
        <v>167.4</v>
      </c>
      <c r="O25">
        <v>33800</v>
      </c>
      <c r="P25">
        <v>0.01</v>
      </c>
      <c r="Q25">
        <v>-8.05000000001143E-3</v>
      </c>
      <c r="R25">
        <v>66.782709999999994</v>
      </c>
      <c r="S25">
        <v>-1.5230303023427501E-3</v>
      </c>
      <c r="T25">
        <v>8.2999999999913109E-3</v>
      </c>
      <c r="U25" s="1">
        <v>45846</v>
      </c>
      <c r="V25">
        <v>227704800</v>
      </c>
      <c r="W25">
        <v>4</v>
      </c>
      <c r="X25">
        <v>9.6296823332999999</v>
      </c>
      <c r="Y25">
        <v>49.679564499999998</v>
      </c>
      <c r="Z25">
        <v>4.6690000000000002E-2</v>
      </c>
      <c r="AA25">
        <v>483.79</v>
      </c>
      <c r="AB25">
        <v>1127.82</v>
      </c>
      <c r="AC25">
        <v>164.6</v>
      </c>
      <c r="AD25">
        <v>167.3</v>
      </c>
      <c r="AE25">
        <v>33790</v>
      </c>
      <c r="AF25">
        <v>2.8000000000000001E-2</v>
      </c>
      <c r="AG25">
        <v>9.6295261666999998</v>
      </c>
      <c r="AH25">
        <v>49.679521000000001</v>
      </c>
      <c r="AI25">
        <v>12</v>
      </c>
      <c r="AJ25">
        <v>0.49</v>
      </c>
      <c r="AK25">
        <v>169</v>
      </c>
      <c r="AL25">
        <v>227704800</v>
      </c>
      <c r="AM25">
        <v>4.1000000000000002E-2</v>
      </c>
    </row>
    <row r="26" spans="1:39" x14ac:dyDescent="0.25">
      <c r="A26">
        <v>-1.87799999999924E-2</v>
      </c>
      <c r="B26">
        <v>274.70213999999999</v>
      </c>
      <c r="C26">
        <v>-1.56121212131728E-3</v>
      </c>
      <c r="D26">
        <v>-7.2200000000179898E-3</v>
      </c>
      <c r="E26" s="1">
        <v>45846</v>
      </c>
      <c r="F26">
        <v>227705000</v>
      </c>
      <c r="G26">
        <v>4</v>
      </c>
      <c r="H26">
        <v>9.6293566666999997</v>
      </c>
      <c r="I26">
        <v>49.679530166699998</v>
      </c>
      <c r="J26">
        <v>4.6679999999999999E-2</v>
      </c>
      <c r="K26">
        <v>100.62</v>
      </c>
      <c r="L26">
        <v>-1223.3</v>
      </c>
      <c r="M26">
        <v>158.28</v>
      </c>
      <c r="N26">
        <v>167.4</v>
      </c>
      <c r="O26">
        <v>33800</v>
      </c>
      <c r="P26">
        <v>3.2000000000000001E-2</v>
      </c>
      <c r="Q26">
        <v>-9.3500000000119599E-3</v>
      </c>
      <c r="R26">
        <v>66.781409999999994</v>
      </c>
      <c r="S26">
        <v>3.8181818182809698E-3</v>
      </c>
      <c r="T26">
        <v>-1.3000000000005199E-3</v>
      </c>
      <c r="U26" s="1">
        <v>45846</v>
      </c>
      <c r="V26">
        <v>227705000</v>
      </c>
      <c r="W26">
        <v>4</v>
      </c>
      <c r="X26">
        <v>9.6296823332999999</v>
      </c>
      <c r="Y26">
        <v>49.679564499999998</v>
      </c>
      <c r="Z26">
        <v>4.6690000000000002E-2</v>
      </c>
      <c r="AA26">
        <v>483.8</v>
      </c>
      <c r="AB26">
        <v>1127.79</v>
      </c>
      <c r="AC26">
        <v>164.73</v>
      </c>
      <c r="AD26">
        <v>167.3</v>
      </c>
      <c r="AE26">
        <v>33790</v>
      </c>
      <c r="AF26">
        <v>3.7999999999999999E-2</v>
      </c>
      <c r="AG26">
        <v>9.6295261666999998</v>
      </c>
      <c r="AH26">
        <v>49.679521000000001</v>
      </c>
      <c r="AI26">
        <v>12</v>
      </c>
      <c r="AJ26">
        <v>0.49</v>
      </c>
      <c r="AK26">
        <v>169</v>
      </c>
      <c r="AL26">
        <v>227705000</v>
      </c>
      <c r="AM26">
        <v>4.4999999999999998E-2</v>
      </c>
    </row>
    <row r="27" spans="1:39" x14ac:dyDescent="0.25">
      <c r="A27">
        <v>-1.17599999999811E-2</v>
      </c>
      <c r="B27">
        <v>274.70916</v>
      </c>
      <c r="C27">
        <v>-8.9878787878398705E-4</v>
      </c>
      <c r="D27">
        <v>7.0200000000113496E-3</v>
      </c>
      <c r="E27" s="1">
        <v>45846</v>
      </c>
      <c r="F27">
        <v>227705200</v>
      </c>
      <c r="G27">
        <v>4</v>
      </c>
      <c r="H27">
        <v>9.6293566666999997</v>
      </c>
      <c r="I27">
        <v>49.679530166699998</v>
      </c>
      <c r="J27">
        <v>4.6679999999999999E-2</v>
      </c>
      <c r="K27">
        <v>100.78</v>
      </c>
      <c r="L27">
        <v>-1223.3599999999999</v>
      </c>
      <c r="M27">
        <v>158.07</v>
      </c>
      <c r="N27">
        <v>167.4</v>
      </c>
      <c r="O27">
        <v>33800</v>
      </c>
      <c r="P27">
        <v>3.9E-2</v>
      </c>
      <c r="Q27">
        <v>-1.50700000000085E-2</v>
      </c>
      <c r="R27">
        <v>66.775689999999997</v>
      </c>
      <c r="S27">
        <v>3.52727272731893E-3</v>
      </c>
      <c r="T27">
        <v>-5.7199999999966097E-3</v>
      </c>
      <c r="U27" s="1">
        <v>45846</v>
      </c>
      <c r="V27">
        <v>227705200</v>
      </c>
      <c r="W27">
        <v>4</v>
      </c>
      <c r="X27">
        <v>9.6296823332999999</v>
      </c>
      <c r="Y27">
        <v>49.679564499999998</v>
      </c>
      <c r="Z27">
        <v>4.6690000000000002E-2</v>
      </c>
      <c r="AA27">
        <v>483.91</v>
      </c>
      <c r="AB27">
        <v>1127.73</v>
      </c>
      <c r="AC27">
        <v>164.73</v>
      </c>
      <c r="AD27">
        <v>167.3</v>
      </c>
      <c r="AE27">
        <v>33790</v>
      </c>
      <c r="AF27">
        <v>3.9E-2</v>
      </c>
      <c r="AG27">
        <v>9.6295260000000003</v>
      </c>
      <c r="AH27">
        <v>49.679521166699999</v>
      </c>
      <c r="AI27">
        <v>12</v>
      </c>
      <c r="AJ27">
        <v>0.49</v>
      </c>
      <c r="AK27">
        <v>169</v>
      </c>
      <c r="AL27">
        <v>227705200</v>
      </c>
      <c r="AM27">
        <v>5.8000000000000003E-2</v>
      </c>
    </row>
    <row r="28" spans="1:39" x14ac:dyDescent="0.25">
      <c r="A28">
        <v>-4.5199999999567799E-3</v>
      </c>
      <c r="B28">
        <v>274.71640000000002</v>
      </c>
      <c r="C28">
        <v>1.4715151509956199E-3</v>
      </c>
      <c r="D28">
        <v>7.2400000000243303E-3</v>
      </c>
      <c r="E28" s="1">
        <v>45846</v>
      </c>
      <c r="F28">
        <v>227705400</v>
      </c>
      <c r="G28">
        <v>4</v>
      </c>
      <c r="H28">
        <v>9.6293566666999997</v>
      </c>
      <c r="I28">
        <v>49.679530166699998</v>
      </c>
      <c r="J28">
        <v>4.6690000000000002E-2</v>
      </c>
      <c r="K28">
        <v>100.91</v>
      </c>
      <c r="L28">
        <v>-1223.1199999999999</v>
      </c>
      <c r="M28">
        <v>158.91999999999999</v>
      </c>
      <c r="N28">
        <v>167.4</v>
      </c>
      <c r="O28">
        <v>33800</v>
      </c>
      <c r="P28">
        <v>1.0999999999999999E-2</v>
      </c>
      <c r="Q28">
        <v>-1.41800000000102E-2</v>
      </c>
      <c r="R28">
        <v>66.776579999999996</v>
      </c>
      <c r="S28">
        <v>1.47363636322248E-3</v>
      </c>
      <c r="T28">
        <v>8.8999999999828095E-4</v>
      </c>
      <c r="U28" s="1">
        <v>45846</v>
      </c>
      <c r="V28">
        <v>227705400</v>
      </c>
      <c r="W28">
        <v>4</v>
      </c>
      <c r="X28">
        <v>9.6296823332999999</v>
      </c>
      <c r="Y28">
        <v>49.679564499999998</v>
      </c>
      <c r="Z28">
        <v>4.6690000000000002E-2</v>
      </c>
      <c r="AA28">
        <v>483.89</v>
      </c>
      <c r="AB28">
        <v>1127.72</v>
      </c>
      <c r="AC28">
        <v>165.04</v>
      </c>
      <c r="AD28">
        <v>167.3</v>
      </c>
      <c r="AE28">
        <v>33790</v>
      </c>
      <c r="AF28">
        <v>1.2999999999999999E-2</v>
      </c>
      <c r="AG28">
        <v>9.6295260000000003</v>
      </c>
      <c r="AH28">
        <v>49.679521166699999</v>
      </c>
      <c r="AI28">
        <v>12</v>
      </c>
      <c r="AJ28">
        <v>0.49</v>
      </c>
      <c r="AK28">
        <v>169</v>
      </c>
      <c r="AL28">
        <v>227705400</v>
      </c>
      <c r="AM28">
        <v>3.6999999999999998E-2</v>
      </c>
    </row>
    <row r="29" spans="1:39" x14ac:dyDescent="0.25">
      <c r="A29">
        <v>-9.7399999999652192E-3</v>
      </c>
      <c r="B29">
        <v>274.71118000000001</v>
      </c>
      <c r="C29">
        <v>-2.2036363638652601E-3</v>
      </c>
      <c r="D29">
        <v>-5.2200000000084401E-3</v>
      </c>
      <c r="E29" s="1">
        <v>45846</v>
      </c>
      <c r="F29">
        <v>227705600</v>
      </c>
      <c r="G29">
        <v>4</v>
      </c>
      <c r="H29">
        <v>9.6293566666999997</v>
      </c>
      <c r="I29">
        <v>49.679530166699998</v>
      </c>
      <c r="J29">
        <v>4.6690000000000002E-2</v>
      </c>
      <c r="K29">
        <v>100.8</v>
      </c>
      <c r="L29">
        <v>-1223.1400000000001</v>
      </c>
      <c r="M29">
        <v>159.29</v>
      </c>
      <c r="N29">
        <v>167.4</v>
      </c>
      <c r="O29">
        <v>33800</v>
      </c>
      <c r="P29">
        <v>2.1000000000000001E-2</v>
      </c>
      <c r="Q29">
        <v>-3.5000000000024998E-3</v>
      </c>
      <c r="R29">
        <v>66.787260000000003</v>
      </c>
      <c r="S29">
        <v>1.0303030303297799E-3</v>
      </c>
      <c r="T29">
        <v>1.0680000000007701E-2</v>
      </c>
      <c r="U29" s="1">
        <v>45846</v>
      </c>
      <c r="V29">
        <v>227705600</v>
      </c>
      <c r="W29">
        <v>4</v>
      </c>
      <c r="X29">
        <v>9.6296823332999999</v>
      </c>
      <c r="Y29">
        <v>49.679564666700003</v>
      </c>
      <c r="Z29">
        <v>4.6690000000000002E-2</v>
      </c>
      <c r="AA29">
        <v>483.71</v>
      </c>
      <c r="AB29">
        <v>1127.8900000000001</v>
      </c>
      <c r="AC29">
        <v>164.68</v>
      </c>
      <c r="AD29">
        <v>167.3</v>
      </c>
      <c r="AE29">
        <v>33790</v>
      </c>
      <c r="AF29">
        <v>4.2000000000000003E-2</v>
      </c>
      <c r="AG29">
        <v>9.6295260000000003</v>
      </c>
      <c r="AH29">
        <v>49.679521166699999</v>
      </c>
      <c r="AI29">
        <v>12</v>
      </c>
      <c r="AJ29">
        <v>0.49</v>
      </c>
      <c r="AK29">
        <v>169</v>
      </c>
      <c r="AL29">
        <v>227705600</v>
      </c>
      <c r="AM29">
        <v>3.2000000000000001E-2</v>
      </c>
    </row>
    <row r="30" spans="1:39" x14ac:dyDescent="0.25">
      <c r="A30">
        <v>-1.3859999999965501E-2</v>
      </c>
      <c r="B30">
        <v>274.70706000000001</v>
      </c>
      <c r="C30">
        <v>-3.4400000000614399E-3</v>
      </c>
      <c r="D30">
        <v>-4.1200000000003404E-3</v>
      </c>
      <c r="E30" s="1">
        <v>45846</v>
      </c>
      <c r="F30">
        <v>227705800</v>
      </c>
      <c r="G30">
        <v>4</v>
      </c>
      <c r="H30">
        <v>9.6293565000000001</v>
      </c>
      <c r="I30">
        <v>49.679530166699998</v>
      </c>
      <c r="J30">
        <v>4.6679999999999999E-2</v>
      </c>
      <c r="K30">
        <v>100.71</v>
      </c>
      <c r="L30">
        <v>-1223.1500000000001</v>
      </c>
      <c r="M30">
        <v>159.26</v>
      </c>
      <c r="N30">
        <v>167.4</v>
      </c>
      <c r="O30">
        <v>33800</v>
      </c>
      <c r="P30">
        <v>1.2E-2</v>
      </c>
      <c r="Q30">
        <v>-7.40000000000407E-3</v>
      </c>
      <c r="R30">
        <v>66.783360000000002</v>
      </c>
      <c r="S30">
        <v>1.66363636348165E-3</v>
      </c>
      <c r="T30">
        <v>-3.9000000000015602E-3</v>
      </c>
      <c r="U30" s="1">
        <v>45846</v>
      </c>
      <c r="V30">
        <v>227705800</v>
      </c>
      <c r="W30">
        <v>4</v>
      </c>
      <c r="X30">
        <v>9.6296823332999999</v>
      </c>
      <c r="Y30">
        <v>49.679564666700003</v>
      </c>
      <c r="Z30">
        <v>4.6690000000000002E-2</v>
      </c>
      <c r="AA30">
        <v>483.73</v>
      </c>
      <c r="AB30">
        <v>1127.72</v>
      </c>
      <c r="AC30">
        <v>164.71</v>
      </c>
      <c r="AD30">
        <v>167.3</v>
      </c>
      <c r="AE30">
        <v>33790</v>
      </c>
      <c r="AF30">
        <v>0.04</v>
      </c>
      <c r="AG30">
        <v>9.6295260000000003</v>
      </c>
      <c r="AH30">
        <v>49.679521166699999</v>
      </c>
      <c r="AI30">
        <v>12</v>
      </c>
      <c r="AJ30">
        <v>0.49</v>
      </c>
      <c r="AK30">
        <v>169</v>
      </c>
      <c r="AL30">
        <v>227705800</v>
      </c>
      <c r="AM30">
        <v>0.06</v>
      </c>
    </row>
    <row r="31" spans="1:39" x14ac:dyDescent="0.25">
      <c r="A31">
        <v>-1.4739999999960601E-2</v>
      </c>
      <c r="B31">
        <v>274.70618000000002</v>
      </c>
      <c r="C31">
        <v>-2.0763636364465902E-3</v>
      </c>
      <c r="D31">
        <v>-8.7999999999510605E-4</v>
      </c>
      <c r="E31" s="1">
        <v>45846</v>
      </c>
      <c r="F31">
        <v>227706000</v>
      </c>
      <c r="G31">
        <v>4</v>
      </c>
      <c r="H31">
        <v>9.6293566666999997</v>
      </c>
      <c r="I31">
        <v>49.679530166699998</v>
      </c>
      <c r="J31">
        <v>4.6679999999999999E-2</v>
      </c>
      <c r="K31">
        <v>100.69</v>
      </c>
      <c r="L31">
        <v>-1223.1500000000001</v>
      </c>
      <c r="M31">
        <v>159.16999999999999</v>
      </c>
      <c r="N31">
        <v>167.4</v>
      </c>
      <c r="O31">
        <v>33800</v>
      </c>
      <c r="P31">
        <v>2.5999999999999999E-2</v>
      </c>
      <c r="Q31">
        <v>-7.6200000000028398E-3</v>
      </c>
      <c r="R31">
        <v>66.783140000000003</v>
      </c>
      <c r="S31">
        <v>2.99454545427446E-3</v>
      </c>
      <c r="T31">
        <v>-2.19999999998776E-4</v>
      </c>
      <c r="U31" s="1">
        <v>45846</v>
      </c>
      <c r="V31">
        <v>227706000</v>
      </c>
      <c r="W31">
        <v>4</v>
      </c>
      <c r="X31">
        <v>9.6296823332999999</v>
      </c>
      <c r="Y31">
        <v>49.679564666700003</v>
      </c>
      <c r="Z31">
        <v>4.6690000000000002E-2</v>
      </c>
      <c r="AA31">
        <v>483.74</v>
      </c>
      <c r="AB31">
        <v>1127.74</v>
      </c>
      <c r="AC31">
        <v>164.85</v>
      </c>
      <c r="AD31">
        <v>167.3</v>
      </c>
      <c r="AE31">
        <v>33790</v>
      </c>
      <c r="AF31">
        <v>2.3E-2</v>
      </c>
      <c r="AG31">
        <v>9.6295260000000003</v>
      </c>
      <c r="AH31">
        <v>49.679521166699999</v>
      </c>
      <c r="AI31">
        <v>12</v>
      </c>
      <c r="AJ31">
        <v>0.49</v>
      </c>
      <c r="AK31">
        <v>169</v>
      </c>
      <c r="AL31">
        <v>227706000</v>
      </c>
      <c r="AM31">
        <v>1.7000000000000001E-2</v>
      </c>
    </row>
    <row r="32" spans="1:39" x14ac:dyDescent="0.25">
      <c r="A32">
        <v>-8.1599999999752895E-3</v>
      </c>
      <c r="B32">
        <v>274.71276</v>
      </c>
      <c r="C32">
        <v>1.0969696970058499E-4</v>
      </c>
      <c r="D32">
        <v>6.5799999999853701E-3</v>
      </c>
      <c r="E32" s="1">
        <v>45846</v>
      </c>
      <c r="F32">
        <v>227706200</v>
      </c>
      <c r="G32">
        <v>4</v>
      </c>
      <c r="H32">
        <v>9.6293566666999997</v>
      </c>
      <c r="I32">
        <v>49.679530166699998</v>
      </c>
      <c r="J32">
        <v>4.6690000000000002E-2</v>
      </c>
      <c r="K32">
        <v>100.82</v>
      </c>
      <c r="L32">
        <v>-1223.02</v>
      </c>
      <c r="M32">
        <v>158.63999999999999</v>
      </c>
      <c r="N32">
        <v>167.4</v>
      </c>
      <c r="O32">
        <v>33800</v>
      </c>
      <c r="P32">
        <v>4.5999999999999999E-2</v>
      </c>
      <c r="Q32">
        <v>-1.7260000000007301E-2</v>
      </c>
      <c r="R32">
        <v>66.773499999999999</v>
      </c>
      <c r="S32">
        <v>1.09636363634331E-3</v>
      </c>
      <c r="T32">
        <v>-9.6400000000045304E-3</v>
      </c>
      <c r="U32" s="1">
        <v>45846</v>
      </c>
      <c r="V32">
        <v>227706200</v>
      </c>
      <c r="W32">
        <v>4</v>
      </c>
      <c r="X32">
        <v>9.6296823332999999</v>
      </c>
      <c r="Y32">
        <v>49.679564666700003</v>
      </c>
      <c r="Z32">
        <v>4.6679999999999999E-2</v>
      </c>
      <c r="AA32">
        <v>484</v>
      </c>
      <c r="AB32">
        <v>1127.83</v>
      </c>
      <c r="AC32">
        <v>164.53</v>
      </c>
      <c r="AD32">
        <v>167.3</v>
      </c>
      <c r="AE32">
        <v>33790</v>
      </c>
      <c r="AF32">
        <v>3.5000000000000003E-2</v>
      </c>
      <c r="AG32">
        <v>9.6295260000000003</v>
      </c>
      <c r="AH32">
        <v>49.679521166699999</v>
      </c>
      <c r="AI32">
        <v>12</v>
      </c>
      <c r="AJ32">
        <v>0.49</v>
      </c>
      <c r="AK32">
        <v>169</v>
      </c>
      <c r="AL32">
        <v>227706200</v>
      </c>
      <c r="AM32">
        <v>4.8000000000000001E-2</v>
      </c>
    </row>
    <row r="33" spans="1:39" x14ac:dyDescent="0.25">
      <c r="A33">
        <v>-7.9000000000064505E-3</v>
      </c>
      <c r="B33">
        <v>274.71301999999997</v>
      </c>
      <c r="C33">
        <v>1.20242424277674E-3</v>
      </c>
      <c r="D33">
        <v>2.5999999996884001E-4</v>
      </c>
      <c r="E33" s="1">
        <v>45846</v>
      </c>
      <c r="F33">
        <v>227706400</v>
      </c>
      <c r="G33">
        <v>4</v>
      </c>
      <c r="H33">
        <v>9.6293566666999997</v>
      </c>
      <c r="I33">
        <v>49.679530333300001</v>
      </c>
      <c r="J33">
        <v>4.6699999999999998E-2</v>
      </c>
      <c r="K33">
        <v>100.81</v>
      </c>
      <c r="L33">
        <v>-1222.82</v>
      </c>
      <c r="M33">
        <v>159.19999999999999</v>
      </c>
      <c r="N33">
        <v>167.4</v>
      </c>
      <c r="O33">
        <v>33800</v>
      </c>
      <c r="P33">
        <v>2.9000000000000001E-2</v>
      </c>
      <c r="Q33">
        <v>7.5999999999964898E-3</v>
      </c>
      <c r="R33">
        <v>66.798360000000002</v>
      </c>
      <c r="S33">
        <v>5.8612121213889902E-3</v>
      </c>
      <c r="T33">
        <v>2.4860000000003799E-2</v>
      </c>
      <c r="U33" s="1">
        <v>45846</v>
      </c>
      <c r="V33">
        <v>227706400</v>
      </c>
      <c r="W33">
        <v>4</v>
      </c>
      <c r="X33">
        <v>9.6296823332999999</v>
      </c>
      <c r="Y33">
        <v>49.679564666700003</v>
      </c>
      <c r="Z33">
        <v>4.6679999999999999E-2</v>
      </c>
      <c r="AA33">
        <v>483.53</v>
      </c>
      <c r="AB33">
        <v>1128.06</v>
      </c>
      <c r="AC33">
        <v>164.72</v>
      </c>
      <c r="AD33">
        <v>167.3</v>
      </c>
      <c r="AE33">
        <v>33790</v>
      </c>
      <c r="AF33">
        <v>3.2000000000000001E-2</v>
      </c>
      <c r="AG33">
        <v>9.6295260000000003</v>
      </c>
      <c r="AH33">
        <v>49.679521166699999</v>
      </c>
      <c r="AI33">
        <v>12</v>
      </c>
      <c r="AJ33">
        <v>0.49</v>
      </c>
      <c r="AK33">
        <v>169</v>
      </c>
      <c r="AL33">
        <v>227706400</v>
      </c>
      <c r="AM33">
        <v>1.7999999999999999E-2</v>
      </c>
    </row>
    <row r="34" spans="1:39" x14ac:dyDescent="0.25">
      <c r="A34">
        <v>-1.51999999999929E-2</v>
      </c>
      <c r="B34">
        <v>274.70571999999999</v>
      </c>
      <c r="C34">
        <v>8.0666666673856805E-4</v>
      </c>
      <c r="D34">
        <v>-7.2999999999865403E-3</v>
      </c>
      <c r="E34" s="1">
        <v>45846</v>
      </c>
      <c r="F34">
        <v>227706600</v>
      </c>
      <c r="G34">
        <v>4</v>
      </c>
      <c r="H34">
        <v>9.6293565000000001</v>
      </c>
      <c r="I34">
        <v>49.679530333300001</v>
      </c>
      <c r="J34">
        <v>4.6690000000000002E-2</v>
      </c>
      <c r="K34">
        <v>100.68</v>
      </c>
      <c r="L34">
        <v>-1223.07</v>
      </c>
      <c r="M34">
        <v>158.86000000000001</v>
      </c>
      <c r="N34">
        <v>167.4</v>
      </c>
      <c r="O34">
        <v>33800</v>
      </c>
      <c r="P34">
        <v>2.8000000000000001E-2</v>
      </c>
      <c r="Q34">
        <v>-1.0550000000009101E-2</v>
      </c>
      <c r="R34">
        <v>66.780209999999997</v>
      </c>
      <c r="S34">
        <v>3.0600000003637002E-3</v>
      </c>
      <c r="T34">
        <v>-1.8150000000005599E-2</v>
      </c>
      <c r="U34" s="1">
        <v>45846</v>
      </c>
      <c r="V34">
        <v>227706600</v>
      </c>
      <c r="W34">
        <v>4</v>
      </c>
      <c r="X34">
        <v>9.6296823332999999</v>
      </c>
      <c r="Y34">
        <v>49.679564666700003</v>
      </c>
      <c r="Z34">
        <v>4.6690000000000002E-2</v>
      </c>
      <c r="AA34">
        <v>483.83</v>
      </c>
      <c r="AB34">
        <v>1127.79</v>
      </c>
      <c r="AC34">
        <v>164.58</v>
      </c>
      <c r="AD34">
        <v>167.3</v>
      </c>
      <c r="AE34">
        <v>33790</v>
      </c>
      <c r="AF34">
        <v>3.7999999999999999E-2</v>
      </c>
      <c r="AG34">
        <v>9.6295260000000003</v>
      </c>
      <c r="AH34">
        <v>49.679521333300002</v>
      </c>
      <c r="AI34">
        <v>12</v>
      </c>
      <c r="AJ34">
        <v>0.49</v>
      </c>
      <c r="AK34">
        <v>169</v>
      </c>
      <c r="AL34">
        <v>227706600</v>
      </c>
      <c r="AM34">
        <v>4.8000000000000001E-2</v>
      </c>
    </row>
    <row r="35" spans="1:39" x14ac:dyDescent="0.25">
      <c r="A35">
        <v>-1.9019999999954899E-2</v>
      </c>
      <c r="B35">
        <v>274.70190000000002</v>
      </c>
      <c r="C35">
        <v>-1.1903030298051401E-3</v>
      </c>
      <c r="D35">
        <v>-3.8199999999619602E-3</v>
      </c>
      <c r="E35" s="1">
        <v>45846</v>
      </c>
      <c r="F35">
        <v>227706800</v>
      </c>
      <c r="G35">
        <v>4</v>
      </c>
      <c r="H35">
        <v>9.6293565000000001</v>
      </c>
      <c r="I35">
        <v>49.679530333300001</v>
      </c>
      <c r="J35">
        <v>4.6690000000000002E-2</v>
      </c>
      <c r="K35">
        <v>100.59</v>
      </c>
      <c r="L35">
        <v>-1222.99</v>
      </c>
      <c r="M35">
        <v>159.47999999999999</v>
      </c>
      <c r="N35">
        <v>167.4</v>
      </c>
      <c r="O35">
        <v>33800</v>
      </c>
      <c r="P35">
        <v>8.0000000000000002E-3</v>
      </c>
      <c r="Q35">
        <v>-3.5400000000009799E-3</v>
      </c>
      <c r="R35">
        <v>66.787220000000005</v>
      </c>
      <c r="S35">
        <v>4.58575757531598E-3</v>
      </c>
      <c r="T35">
        <v>7.0100000000081703E-3</v>
      </c>
      <c r="U35" s="1">
        <v>45846</v>
      </c>
      <c r="V35">
        <v>227706800</v>
      </c>
      <c r="W35">
        <v>4</v>
      </c>
      <c r="X35">
        <v>9.6296823332999999</v>
      </c>
      <c r="Y35">
        <v>49.679564833299999</v>
      </c>
      <c r="Z35">
        <v>4.6679999999999999E-2</v>
      </c>
      <c r="AA35">
        <v>483.74</v>
      </c>
      <c r="AB35">
        <v>1127.95</v>
      </c>
      <c r="AC35">
        <v>165.03</v>
      </c>
      <c r="AD35">
        <v>167.3</v>
      </c>
      <c r="AE35">
        <v>33790</v>
      </c>
      <c r="AF35">
        <v>1.6E-2</v>
      </c>
      <c r="AG35">
        <v>9.6295260000000003</v>
      </c>
      <c r="AH35">
        <v>49.679521333300002</v>
      </c>
      <c r="AI35">
        <v>12</v>
      </c>
      <c r="AJ35">
        <v>0.49</v>
      </c>
      <c r="AK35">
        <v>169</v>
      </c>
      <c r="AL35">
        <v>227706800</v>
      </c>
      <c r="AM35">
        <v>6.7000000000000004E-2</v>
      </c>
    </row>
    <row r="36" spans="1:39" x14ac:dyDescent="0.25">
      <c r="A36">
        <v>-8.1799999999816395E-3</v>
      </c>
      <c r="B36">
        <v>274.71274</v>
      </c>
      <c r="C36">
        <v>-2.1854545454569399E-3</v>
      </c>
      <c r="D36">
        <v>1.08399999999733E-2</v>
      </c>
      <c r="E36" s="1">
        <v>45846</v>
      </c>
      <c r="F36">
        <v>227707000</v>
      </c>
      <c r="G36">
        <v>4</v>
      </c>
      <c r="H36">
        <v>9.6293565000000001</v>
      </c>
      <c r="I36">
        <v>49.679530333300001</v>
      </c>
      <c r="J36">
        <v>4.6690000000000002E-2</v>
      </c>
      <c r="K36">
        <v>100.83</v>
      </c>
      <c r="L36">
        <v>-1223.03</v>
      </c>
      <c r="M36">
        <v>159.81</v>
      </c>
      <c r="N36">
        <v>167.4</v>
      </c>
      <c r="O36">
        <v>33800</v>
      </c>
      <c r="P36">
        <v>4.1000000000000002E-2</v>
      </c>
      <c r="Q36">
        <v>-1.29400000000003E-2</v>
      </c>
      <c r="R36">
        <v>66.777820000000006</v>
      </c>
      <c r="S36">
        <v>2.8412121212829699E-3</v>
      </c>
      <c r="T36">
        <v>-9.3999999999994106E-3</v>
      </c>
      <c r="U36" s="1">
        <v>45846</v>
      </c>
      <c r="V36">
        <v>227707000</v>
      </c>
      <c r="W36">
        <v>4</v>
      </c>
      <c r="X36">
        <v>9.6296823332999999</v>
      </c>
      <c r="Y36">
        <v>49.679564833299999</v>
      </c>
      <c r="Z36">
        <v>4.6679999999999999E-2</v>
      </c>
      <c r="AA36">
        <v>483.98</v>
      </c>
      <c r="AB36">
        <v>1128.01</v>
      </c>
      <c r="AC36">
        <v>164.95</v>
      </c>
      <c r="AD36">
        <v>167.3</v>
      </c>
      <c r="AE36">
        <v>33790</v>
      </c>
      <c r="AF36">
        <v>2.9000000000000001E-2</v>
      </c>
      <c r="AG36">
        <v>9.6295260000000003</v>
      </c>
      <c r="AH36">
        <v>49.679521333300002</v>
      </c>
      <c r="AI36">
        <v>12</v>
      </c>
      <c r="AJ36">
        <v>0.49</v>
      </c>
      <c r="AK36">
        <v>169</v>
      </c>
      <c r="AL36">
        <v>227707000</v>
      </c>
      <c r="AM36">
        <v>5.3999999999999999E-2</v>
      </c>
    </row>
    <row r="37" spans="1:39" x14ac:dyDescent="0.25">
      <c r="A37">
        <v>-1.7560000000003101E-2</v>
      </c>
      <c r="B37">
        <v>274.70335999999998</v>
      </c>
      <c r="C37">
        <v>-4.0412121212068802E-3</v>
      </c>
      <c r="D37">
        <v>-9.3800000000214805E-3</v>
      </c>
      <c r="E37" s="1">
        <v>45846</v>
      </c>
      <c r="F37">
        <v>227707200</v>
      </c>
      <c r="G37">
        <v>4</v>
      </c>
      <c r="H37">
        <v>9.6293565000000001</v>
      </c>
      <c r="I37">
        <v>49.679530333300001</v>
      </c>
      <c r="J37">
        <v>4.6690000000000002E-2</v>
      </c>
      <c r="K37">
        <v>100.62</v>
      </c>
      <c r="L37">
        <v>-1223.05</v>
      </c>
      <c r="M37">
        <v>159.22999999999999</v>
      </c>
      <c r="N37">
        <v>167.4</v>
      </c>
      <c r="O37">
        <v>33800</v>
      </c>
      <c r="P37">
        <v>3.9E-2</v>
      </c>
      <c r="Q37">
        <v>-9.1900000000037993E-3</v>
      </c>
      <c r="R37">
        <v>66.781570000000002</v>
      </c>
      <c r="S37">
        <v>4.3030303061189398E-4</v>
      </c>
      <c r="T37">
        <v>3.7499999999965799E-3</v>
      </c>
      <c r="U37" s="1">
        <v>45846</v>
      </c>
      <c r="V37">
        <v>227707200</v>
      </c>
      <c r="W37">
        <v>4</v>
      </c>
      <c r="X37">
        <v>9.6296823332999999</v>
      </c>
      <c r="Y37">
        <v>49.679564666700003</v>
      </c>
      <c r="Z37">
        <v>4.6679999999999999E-2</v>
      </c>
      <c r="AA37">
        <v>483.87</v>
      </c>
      <c r="AB37">
        <v>1127.96</v>
      </c>
      <c r="AC37">
        <v>164.55</v>
      </c>
      <c r="AD37">
        <v>167.3</v>
      </c>
      <c r="AE37">
        <v>33790</v>
      </c>
      <c r="AF37">
        <v>2.5000000000000001E-2</v>
      </c>
      <c r="AG37">
        <v>9.6295260000000003</v>
      </c>
      <c r="AH37">
        <v>49.679521333300002</v>
      </c>
      <c r="AI37">
        <v>12</v>
      </c>
      <c r="AJ37">
        <v>0.49</v>
      </c>
      <c r="AK37">
        <v>169</v>
      </c>
      <c r="AL37">
        <v>227707200</v>
      </c>
      <c r="AM37">
        <v>3.2000000000000001E-2</v>
      </c>
    </row>
    <row r="38" spans="1:39" x14ac:dyDescent="0.25">
      <c r="A38">
        <v>-1.9839999999987801E-2</v>
      </c>
      <c r="B38">
        <v>274.70107999999999</v>
      </c>
      <c r="C38">
        <v>-3.75393939397011E-3</v>
      </c>
      <c r="D38">
        <v>-2.27999999998473E-3</v>
      </c>
      <c r="E38" s="1">
        <v>45846</v>
      </c>
      <c r="F38">
        <v>227707400</v>
      </c>
      <c r="G38">
        <v>4</v>
      </c>
      <c r="H38">
        <v>9.6293565000000001</v>
      </c>
      <c r="I38">
        <v>49.679530333300001</v>
      </c>
      <c r="J38">
        <v>4.6690000000000002E-2</v>
      </c>
      <c r="K38">
        <v>100.57</v>
      </c>
      <c r="L38">
        <v>-1223.01</v>
      </c>
      <c r="M38">
        <v>159.28</v>
      </c>
      <c r="N38">
        <v>167.4</v>
      </c>
      <c r="O38">
        <v>33800</v>
      </c>
      <c r="P38">
        <v>3.0000000000000001E-3</v>
      </c>
      <c r="Q38">
        <v>-5.8100000000109696E-3</v>
      </c>
      <c r="R38">
        <v>66.784949999999995</v>
      </c>
      <c r="S38">
        <v>-1.1184848486328999E-3</v>
      </c>
      <c r="T38">
        <v>3.3799999999928301E-3</v>
      </c>
      <c r="U38" s="1">
        <v>45846</v>
      </c>
      <c r="V38">
        <v>227707400</v>
      </c>
      <c r="W38">
        <v>4</v>
      </c>
      <c r="X38">
        <v>9.6296823332999999</v>
      </c>
      <c r="Y38">
        <v>49.679564666700003</v>
      </c>
      <c r="Z38">
        <v>4.6690000000000002E-2</v>
      </c>
      <c r="AA38">
        <v>483.77</v>
      </c>
      <c r="AB38">
        <v>1127.9100000000001</v>
      </c>
      <c r="AC38">
        <v>164.74</v>
      </c>
      <c r="AD38">
        <v>167.3</v>
      </c>
      <c r="AE38">
        <v>33790</v>
      </c>
      <c r="AF38">
        <v>1.7999999999999999E-2</v>
      </c>
      <c r="AG38">
        <v>9.6295260000000003</v>
      </c>
      <c r="AH38">
        <v>49.679521333300002</v>
      </c>
      <c r="AI38">
        <v>12</v>
      </c>
      <c r="AJ38">
        <v>0.49</v>
      </c>
      <c r="AK38">
        <v>169</v>
      </c>
      <c r="AL38">
        <v>227707400</v>
      </c>
      <c r="AM38">
        <v>4.2999999999999997E-2</v>
      </c>
    </row>
    <row r="39" spans="1:39" x14ac:dyDescent="0.25">
      <c r="A39">
        <v>-1.97200000000066E-2</v>
      </c>
      <c r="B39">
        <v>274.70119999999997</v>
      </c>
      <c r="C39">
        <v>-4.2454545452501298E-3</v>
      </c>
      <c r="D39">
        <v>1.19999999981246E-4</v>
      </c>
      <c r="E39" s="1">
        <v>45846</v>
      </c>
      <c r="F39">
        <v>227707600</v>
      </c>
      <c r="G39">
        <v>4</v>
      </c>
      <c r="H39">
        <v>9.6293565000000001</v>
      </c>
      <c r="I39">
        <v>49.679530333300001</v>
      </c>
      <c r="J39">
        <v>4.6690000000000002E-2</v>
      </c>
      <c r="K39">
        <v>100.58</v>
      </c>
      <c r="L39">
        <v>-1223.01</v>
      </c>
      <c r="M39">
        <v>159.01</v>
      </c>
      <c r="N39">
        <v>167.4</v>
      </c>
      <c r="O39">
        <v>33800</v>
      </c>
      <c r="P39">
        <v>0.05</v>
      </c>
      <c r="Q39">
        <v>-2.6060000000000999E-2</v>
      </c>
      <c r="R39">
        <v>66.764700000000005</v>
      </c>
      <c r="S39">
        <v>-5.1372727271765204E-3</v>
      </c>
      <c r="T39">
        <v>-2.0249999999990099E-2</v>
      </c>
      <c r="U39" s="1">
        <v>45846</v>
      </c>
      <c r="V39">
        <v>227707600</v>
      </c>
      <c r="W39">
        <v>4</v>
      </c>
      <c r="X39">
        <v>9.6296823332999999</v>
      </c>
      <c r="Y39">
        <v>49.679564833299999</v>
      </c>
      <c r="Z39">
        <v>4.6679999999999999E-2</v>
      </c>
      <c r="AA39">
        <v>484.21</v>
      </c>
      <c r="AB39">
        <v>1127.83</v>
      </c>
      <c r="AC39">
        <v>164.8</v>
      </c>
      <c r="AD39">
        <v>167.3</v>
      </c>
      <c r="AE39">
        <v>33790</v>
      </c>
      <c r="AF39">
        <v>1.9E-2</v>
      </c>
      <c r="AG39">
        <v>9.6295260000000003</v>
      </c>
      <c r="AH39">
        <v>49.679521333300002</v>
      </c>
      <c r="AI39">
        <v>12</v>
      </c>
      <c r="AJ39">
        <v>0.49</v>
      </c>
      <c r="AK39">
        <v>169</v>
      </c>
      <c r="AL39">
        <v>227707600</v>
      </c>
      <c r="AM39">
        <v>4.2000000000000003E-2</v>
      </c>
    </row>
    <row r="40" spans="1:39" x14ac:dyDescent="0.25">
      <c r="A40">
        <v>-2.1639999999990701E-2</v>
      </c>
      <c r="B40">
        <v>274.69927999999999</v>
      </c>
      <c r="C40">
        <v>-6.0290909092703404E-3</v>
      </c>
      <c r="D40">
        <v>-1.9199999999841501E-3</v>
      </c>
      <c r="E40" s="1">
        <v>45846</v>
      </c>
      <c r="F40">
        <v>227707800</v>
      </c>
      <c r="G40">
        <v>4</v>
      </c>
      <c r="H40">
        <v>9.6293565000000001</v>
      </c>
      <c r="I40">
        <v>49.679530333300001</v>
      </c>
      <c r="J40">
        <v>4.6690000000000002E-2</v>
      </c>
      <c r="K40">
        <v>100.53</v>
      </c>
      <c r="L40">
        <v>-1222.92</v>
      </c>
      <c r="M40">
        <v>159.02000000000001</v>
      </c>
      <c r="N40">
        <v>167.4</v>
      </c>
      <c r="O40">
        <v>33800</v>
      </c>
      <c r="P40">
        <v>0.05</v>
      </c>
      <c r="Q40">
        <v>-3.0960000000007398E-2</v>
      </c>
      <c r="R40">
        <v>66.759799999999998</v>
      </c>
      <c r="S40">
        <v>-1.04251515154437E-2</v>
      </c>
      <c r="T40">
        <v>-4.9000000000063403E-3</v>
      </c>
      <c r="U40" s="1">
        <v>45846</v>
      </c>
      <c r="V40">
        <v>227707800</v>
      </c>
      <c r="W40">
        <v>4</v>
      </c>
      <c r="X40">
        <v>9.6296823332999999</v>
      </c>
      <c r="Y40">
        <v>49.679564833299999</v>
      </c>
      <c r="Z40">
        <v>4.6679999999999999E-2</v>
      </c>
      <c r="AA40">
        <v>484.31</v>
      </c>
      <c r="AB40">
        <v>1127.8</v>
      </c>
      <c r="AC40">
        <v>165</v>
      </c>
      <c r="AD40">
        <v>167.3</v>
      </c>
      <c r="AE40">
        <v>33790</v>
      </c>
      <c r="AF40">
        <v>3.9E-2</v>
      </c>
      <c r="AG40">
        <v>9.6295260000000003</v>
      </c>
      <c r="AH40">
        <v>49.679521333300002</v>
      </c>
      <c r="AI40">
        <v>12</v>
      </c>
      <c r="AJ40">
        <v>0.49</v>
      </c>
      <c r="AK40">
        <v>169</v>
      </c>
      <c r="AL40">
        <v>227707800</v>
      </c>
      <c r="AM40">
        <v>2.8000000000000001E-2</v>
      </c>
    </row>
    <row r="41" spans="1:39" x14ac:dyDescent="0.25">
      <c r="A41">
        <v>-1.50999999999612E-2</v>
      </c>
      <c r="B41">
        <v>274.70582000000002</v>
      </c>
      <c r="C41">
        <v>-5.8509090908153601E-3</v>
      </c>
      <c r="D41">
        <v>6.5400000000295196E-3</v>
      </c>
      <c r="E41" s="1">
        <v>45846</v>
      </c>
      <c r="F41">
        <v>227708000</v>
      </c>
      <c r="G41">
        <v>4</v>
      </c>
      <c r="H41">
        <v>9.6293565000000001</v>
      </c>
      <c r="I41">
        <v>49.679530333300001</v>
      </c>
      <c r="J41">
        <v>4.6690000000000002E-2</v>
      </c>
      <c r="K41">
        <v>100.67</v>
      </c>
      <c r="L41">
        <v>-1222.9000000000001</v>
      </c>
      <c r="M41">
        <v>159.28</v>
      </c>
      <c r="N41">
        <v>167.4</v>
      </c>
      <c r="O41">
        <v>33800</v>
      </c>
      <c r="P41">
        <v>1.2E-2</v>
      </c>
      <c r="Q41">
        <v>-2.06600000000065E-2</v>
      </c>
      <c r="R41">
        <v>66.770099999999999</v>
      </c>
      <c r="S41">
        <v>-1.15493939387639E-2</v>
      </c>
      <c r="T41">
        <v>1.03000000000008E-2</v>
      </c>
      <c r="U41" s="1">
        <v>45846</v>
      </c>
      <c r="V41">
        <v>227708000</v>
      </c>
      <c r="W41">
        <v>4</v>
      </c>
      <c r="X41">
        <v>9.6296823332999999</v>
      </c>
      <c r="Y41">
        <v>49.679564833299999</v>
      </c>
      <c r="Z41">
        <v>4.6679999999999999E-2</v>
      </c>
      <c r="AA41">
        <v>484.12</v>
      </c>
      <c r="AB41">
        <v>1127.9100000000001</v>
      </c>
      <c r="AC41">
        <v>165.12</v>
      </c>
      <c r="AD41">
        <v>167.3</v>
      </c>
      <c r="AE41">
        <v>33790</v>
      </c>
      <c r="AF41">
        <v>4.3999999999999997E-2</v>
      </c>
      <c r="AG41">
        <v>9.6295260000000003</v>
      </c>
      <c r="AH41">
        <v>49.679521333300002</v>
      </c>
      <c r="AI41">
        <v>12</v>
      </c>
      <c r="AJ41">
        <v>0.49</v>
      </c>
      <c r="AK41">
        <v>169</v>
      </c>
      <c r="AL41">
        <v>227708000</v>
      </c>
      <c r="AM41">
        <v>1.2999999999999999E-2</v>
      </c>
    </row>
    <row r="42" spans="1:39" x14ac:dyDescent="0.25">
      <c r="A42">
        <v>-1.8899999999973702E-2</v>
      </c>
      <c r="B42">
        <v>274.70202</v>
      </c>
      <c r="C42">
        <v>-4.4939393938675399E-3</v>
      </c>
      <c r="D42">
        <v>-3.8000000000124601E-3</v>
      </c>
      <c r="E42" s="1">
        <v>45846</v>
      </c>
      <c r="F42">
        <v>227708200</v>
      </c>
      <c r="G42">
        <v>4</v>
      </c>
      <c r="H42">
        <v>9.6293565000000001</v>
      </c>
      <c r="I42">
        <v>49.679530333300001</v>
      </c>
      <c r="J42">
        <v>4.6690000000000002E-2</v>
      </c>
      <c r="K42">
        <v>100.58</v>
      </c>
      <c r="L42">
        <v>-1222.9100000000001</v>
      </c>
      <c r="M42">
        <v>159.38999999999999</v>
      </c>
      <c r="N42">
        <v>167.4</v>
      </c>
      <c r="O42">
        <v>33800</v>
      </c>
      <c r="P42">
        <v>6.6000000000000003E-2</v>
      </c>
      <c r="Q42">
        <v>-1.7369999999999601E-2</v>
      </c>
      <c r="R42">
        <v>66.773390000000006</v>
      </c>
      <c r="S42">
        <v>-1.4199393939431201E-2</v>
      </c>
      <c r="T42">
        <v>3.2900000000068898E-3</v>
      </c>
      <c r="U42" s="1">
        <v>45846</v>
      </c>
      <c r="V42">
        <v>227708200</v>
      </c>
      <c r="W42">
        <v>4</v>
      </c>
      <c r="X42">
        <v>9.6296823332999999</v>
      </c>
      <c r="Y42">
        <v>49.679564833299999</v>
      </c>
      <c r="Z42">
        <v>4.6679999999999999E-2</v>
      </c>
      <c r="AA42">
        <v>484.07</v>
      </c>
      <c r="AB42">
        <v>1127.97</v>
      </c>
      <c r="AC42">
        <v>165.14</v>
      </c>
      <c r="AD42">
        <v>167.3</v>
      </c>
      <c r="AE42">
        <v>33790</v>
      </c>
      <c r="AF42">
        <v>0.09</v>
      </c>
      <c r="AG42">
        <v>9.6295260000000003</v>
      </c>
      <c r="AH42">
        <v>49.679521333300002</v>
      </c>
      <c r="AI42">
        <v>12</v>
      </c>
      <c r="AJ42">
        <v>0.49</v>
      </c>
      <c r="AK42">
        <v>169</v>
      </c>
      <c r="AL42">
        <v>227708200</v>
      </c>
      <c r="AM42">
        <v>3.4000000000000002E-2</v>
      </c>
    </row>
    <row r="43" spans="1:39" x14ac:dyDescent="0.25">
      <c r="A43">
        <v>-2.49399999999582E-2</v>
      </c>
      <c r="B43">
        <v>274.69598000000002</v>
      </c>
      <c r="C43">
        <v>-4.04666666702871E-3</v>
      </c>
      <c r="D43">
        <v>-6.0399999999844996E-3</v>
      </c>
      <c r="E43" s="1">
        <v>45846</v>
      </c>
      <c r="F43">
        <v>227708400</v>
      </c>
      <c r="G43">
        <v>4</v>
      </c>
      <c r="H43">
        <v>9.6293565000000001</v>
      </c>
      <c r="I43">
        <v>49.679530499999998</v>
      </c>
      <c r="J43">
        <v>4.6690000000000002E-2</v>
      </c>
      <c r="K43">
        <v>100.47</v>
      </c>
      <c r="L43">
        <v>-1223.0999999999999</v>
      </c>
      <c r="M43">
        <v>158.91</v>
      </c>
      <c r="N43">
        <v>167.4</v>
      </c>
      <c r="O43">
        <v>33800</v>
      </c>
      <c r="P43">
        <v>1.7999999999999999E-2</v>
      </c>
      <c r="Q43">
        <v>-2.6870000000002298E-2</v>
      </c>
      <c r="R43">
        <v>66.763890000000004</v>
      </c>
      <c r="S43">
        <v>-1.11469696982309E-2</v>
      </c>
      <c r="T43">
        <v>-9.5000000000027198E-3</v>
      </c>
      <c r="U43" s="1">
        <v>45846</v>
      </c>
      <c r="V43">
        <v>227708400</v>
      </c>
      <c r="W43">
        <v>4</v>
      </c>
      <c r="X43">
        <v>9.6296823332999999</v>
      </c>
      <c r="Y43">
        <v>49.679564833299999</v>
      </c>
      <c r="Z43">
        <v>4.6690000000000002E-2</v>
      </c>
      <c r="AA43">
        <v>484.18</v>
      </c>
      <c r="AB43">
        <v>1127.72</v>
      </c>
      <c r="AC43">
        <v>164.94</v>
      </c>
      <c r="AD43">
        <v>167.3</v>
      </c>
      <c r="AE43">
        <v>33790</v>
      </c>
      <c r="AF43">
        <v>2.1999999999999999E-2</v>
      </c>
      <c r="AG43">
        <v>9.6295260000000003</v>
      </c>
      <c r="AH43">
        <v>49.6795215</v>
      </c>
      <c r="AI43">
        <v>12</v>
      </c>
      <c r="AJ43">
        <v>0.49</v>
      </c>
      <c r="AK43">
        <v>169</v>
      </c>
      <c r="AL43">
        <v>227708400</v>
      </c>
      <c r="AM43">
        <v>2.1999999999999999E-2</v>
      </c>
    </row>
    <row r="44" spans="1:39" x14ac:dyDescent="0.25">
      <c r="A44">
        <v>-1.18999999999687E-2</v>
      </c>
      <c r="B44">
        <v>274.70902000000001</v>
      </c>
      <c r="C44">
        <v>-1.4436363637859099E-3</v>
      </c>
      <c r="D44">
        <v>1.3039999999989499E-2</v>
      </c>
      <c r="E44" s="1">
        <v>45846</v>
      </c>
      <c r="F44">
        <v>227708600</v>
      </c>
      <c r="G44">
        <v>4</v>
      </c>
      <c r="H44">
        <v>9.6293565000000001</v>
      </c>
      <c r="I44">
        <v>49.679530499999998</v>
      </c>
      <c r="J44">
        <v>4.6699999999999998E-2</v>
      </c>
      <c r="K44">
        <v>100.73</v>
      </c>
      <c r="L44">
        <v>-1222.8599999999999</v>
      </c>
      <c r="M44">
        <v>159.44</v>
      </c>
      <c r="N44">
        <v>167.4</v>
      </c>
      <c r="O44">
        <v>33800</v>
      </c>
      <c r="P44">
        <v>1.7999999999999999E-2</v>
      </c>
      <c r="Q44">
        <v>-2.4100000000004201E-2</v>
      </c>
      <c r="R44">
        <v>66.766660000000002</v>
      </c>
      <c r="S44">
        <v>-1.1300000000236E-2</v>
      </c>
      <c r="T44">
        <v>2.7699999999981598E-3</v>
      </c>
      <c r="U44" s="1">
        <v>45846</v>
      </c>
      <c r="V44">
        <v>227708600</v>
      </c>
      <c r="W44">
        <v>4</v>
      </c>
      <c r="X44">
        <v>9.6296821667000003</v>
      </c>
      <c r="Y44">
        <v>49.679564999999997</v>
      </c>
      <c r="Z44">
        <v>4.6679999999999999E-2</v>
      </c>
      <c r="AA44">
        <v>484.22</v>
      </c>
      <c r="AB44">
        <v>1127.96</v>
      </c>
      <c r="AC44">
        <v>165.09</v>
      </c>
      <c r="AD44">
        <v>167.3</v>
      </c>
      <c r="AE44">
        <v>33790</v>
      </c>
      <c r="AF44">
        <v>2.7E-2</v>
      </c>
      <c r="AG44">
        <v>9.6295260000000003</v>
      </c>
      <c r="AH44">
        <v>49.6795215</v>
      </c>
      <c r="AI44">
        <v>12</v>
      </c>
      <c r="AJ44">
        <v>0.49</v>
      </c>
      <c r="AK44">
        <v>169</v>
      </c>
      <c r="AL44">
        <v>227708600</v>
      </c>
      <c r="AM44">
        <v>5.8000000000000003E-2</v>
      </c>
    </row>
    <row r="45" spans="1:39" x14ac:dyDescent="0.25">
      <c r="A45">
        <v>2.18800000000101E-2</v>
      </c>
      <c r="B45">
        <v>274.74279999999999</v>
      </c>
      <c r="C45">
        <v>8.8987878786216702E-3</v>
      </c>
      <c r="D45">
        <v>3.3779999999978799E-2</v>
      </c>
      <c r="E45" s="1">
        <v>45846</v>
      </c>
      <c r="F45">
        <v>227708800</v>
      </c>
      <c r="G45">
        <v>4</v>
      </c>
      <c r="H45">
        <v>9.6293565000000001</v>
      </c>
      <c r="I45">
        <v>49.679530499999998</v>
      </c>
      <c r="J45">
        <v>4.6690000000000002E-2</v>
      </c>
      <c r="K45">
        <v>101.46</v>
      </c>
      <c r="L45">
        <v>-1222.95</v>
      </c>
      <c r="M45">
        <v>159.13999999999999</v>
      </c>
      <c r="N45">
        <v>167.4</v>
      </c>
      <c r="O45">
        <v>33800</v>
      </c>
      <c r="P45">
        <v>5.6000000000000001E-2</v>
      </c>
      <c r="Q45">
        <v>-4.8920000000009602E-2</v>
      </c>
      <c r="R45">
        <v>66.741839999999996</v>
      </c>
      <c r="S45">
        <v>-1.50642424240383E-2</v>
      </c>
      <c r="T45">
        <v>-2.48200000000053E-2</v>
      </c>
      <c r="U45" s="1">
        <v>45846</v>
      </c>
      <c r="V45">
        <v>227708800</v>
      </c>
      <c r="W45">
        <v>4</v>
      </c>
      <c r="X45">
        <v>9.6296821667000003</v>
      </c>
      <c r="Y45">
        <v>49.679564999999997</v>
      </c>
      <c r="Z45">
        <v>4.6679999999999999E-2</v>
      </c>
      <c r="AA45">
        <v>484.73</v>
      </c>
      <c r="AB45">
        <v>1127.79</v>
      </c>
      <c r="AC45">
        <v>164.56</v>
      </c>
      <c r="AD45">
        <v>167.3</v>
      </c>
      <c r="AE45">
        <v>33790</v>
      </c>
      <c r="AF45">
        <v>1.2E-2</v>
      </c>
      <c r="AG45">
        <v>9.6295260000000003</v>
      </c>
      <c r="AH45">
        <v>49.679521333300002</v>
      </c>
      <c r="AI45">
        <v>12</v>
      </c>
      <c r="AJ45">
        <v>0.49</v>
      </c>
      <c r="AK45">
        <v>169</v>
      </c>
      <c r="AL45">
        <v>227708800</v>
      </c>
      <c r="AM45">
        <v>0.21</v>
      </c>
    </row>
    <row r="46" spans="1:39" x14ac:dyDescent="0.25">
      <c r="A46">
        <v>8.0160000000034801E-2</v>
      </c>
      <c r="B46">
        <v>274.80108000000001</v>
      </c>
      <c r="C46">
        <v>3.6270303027603902E-2</v>
      </c>
      <c r="D46">
        <v>5.8280000000024701E-2</v>
      </c>
      <c r="E46" s="1">
        <v>45846</v>
      </c>
      <c r="F46">
        <v>227709000</v>
      </c>
      <c r="G46">
        <v>4</v>
      </c>
      <c r="H46">
        <v>9.6293565000000001</v>
      </c>
      <c r="I46">
        <v>49.679530499999998</v>
      </c>
      <c r="J46">
        <v>4.6679999999999999E-2</v>
      </c>
      <c r="K46">
        <v>102.74</v>
      </c>
      <c r="L46">
        <v>-1223.23</v>
      </c>
      <c r="M46">
        <v>159.86000000000001</v>
      </c>
      <c r="N46">
        <v>167.4</v>
      </c>
      <c r="O46">
        <v>33800</v>
      </c>
      <c r="P46">
        <v>6.3E-2</v>
      </c>
      <c r="Q46">
        <v>-9.8050000000000595E-2</v>
      </c>
      <c r="R46">
        <v>66.692710000000005</v>
      </c>
      <c r="S46">
        <v>-3.26106060585638E-2</v>
      </c>
      <c r="T46">
        <v>-4.9129999999991E-2</v>
      </c>
      <c r="U46" s="1">
        <v>45846</v>
      </c>
      <c r="V46">
        <v>227709000</v>
      </c>
      <c r="W46">
        <v>4</v>
      </c>
      <c r="X46">
        <v>9.6296823332999999</v>
      </c>
      <c r="Y46">
        <v>49.679564999999997</v>
      </c>
      <c r="Z46">
        <v>4.666E-2</v>
      </c>
      <c r="AA46">
        <v>485.81</v>
      </c>
      <c r="AB46">
        <v>1127.6500000000001</v>
      </c>
      <c r="AC46">
        <v>165.19</v>
      </c>
      <c r="AD46">
        <v>167.3</v>
      </c>
      <c r="AE46">
        <v>33790</v>
      </c>
      <c r="AF46">
        <v>0.10199999999999999</v>
      </c>
      <c r="AG46">
        <v>9.6295260000000003</v>
      </c>
      <c r="AH46">
        <v>49.679521166699999</v>
      </c>
      <c r="AI46">
        <v>12</v>
      </c>
      <c r="AJ46">
        <v>0.49</v>
      </c>
      <c r="AK46">
        <v>169</v>
      </c>
      <c r="AL46">
        <v>227709000</v>
      </c>
      <c r="AM46">
        <v>0.317</v>
      </c>
    </row>
    <row r="47" spans="1:39" x14ac:dyDescent="0.25">
      <c r="A47">
        <v>4.9140000000022603E-2</v>
      </c>
      <c r="B47">
        <v>274.77006</v>
      </c>
      <c r="C47">
        <v>4.6701212119169402E-2</v>
      </c>
      <c r="D47">
        <v>-3.1020000000012201E-2</v>
      </c>
      <c r="E47" s="1">
        <v>45846</v>
      </c>
      <c r="F47">
        <v>227709200</v>
      </c>
      <c r="G47">
        <v>4</v>
      </c>
      <c r="H47">
        <v>9.6293565000000001</v>
      </c>
      <c r="I47">
        <v>49.679530333300001</v>
      </c>
      <c r="J47">
        <v>4.6679999999999999E-2</v>
      </c>
      <c r="K47">
        <v>102.07</v>
      </c>
      <c r="L47">
        <v>-1223.23</v>
      </c>
      <c r="M47">
        <v>159.06</v>
      </c>
      <c r="N47">
        <v>167.4</v>
      </c>
      <c r="O47">
        <v>33800</v>
      </c>
      <c r="P47">
        <v>0.61</v>
      </c>
      <c r="Q47">
        <v>-6.0040000000000697E-2</v>
      </c>
      <c r="R47">
        <v>66.730720000000005</v>
      </c>
      <c r="S47">
        <v>-3.33824242411941E-2</v>
      </c>
      <c r="T47">
        <v>3.8009999999999801E-2</v>
      </c>
      <c r="U47" s="1">
        <v>45846</v>
      </c>
      <c r="V47">
        <v>227709200</v>
      </c>
      <c r="W47">
        <v>4</v>
      </c>
      <c r="X47">
        <v>9.6296823332999999</v>
      </c>
      <c r="Y47">
        <v>49.679564666700003</v>
      </c>
      <c r="Z47">
        <v>4.6679999999999999E-2</v>
      </c>
      <c r="AA47">
        <v>484.92</v>
      </c>
      <c r="AB47">
        <v>1127.6300000000001</v>
      </c>
      <c r="AC47">
        <v>164.6</v>
      </c>
      <c r="AD47">
        <v>167.4</v>
      </c>
      <c r="AE47">
        <v>33800</v>
      </c>
      <c r="AF47">
        <v>0.70899999999999996</v>
      </c>
      <c r="AG47">
        <v>9.6295260000000003</v>
      </c>
      <c r="AH47">
        <v>49.679521166699999</v>
      </c>
      <c r="AI47">
        <v>12</v>
      </c>
      <c r="AJ47">
        <v>0.49</v>
      </c>
      <c r="AK47">
        <v>169</v>
      </c>
      <c r="AL47">
        <v>227709200</v>
      </c>
      <c r="AM47">
        <v>0.38100000000000001</v>
      </c>
    </row>
    <row r="48" spans="1:39" x14ac:dyDescent="0.25">
      <c r="A48">
        <v>0.450680000000034</v>
      </c>
      <c r="B48">
        <v>275.17160000000001</v>
      </c>
      <c r="C48">
        <v>0.16184060604425701</v>
      </c>
      <c r="D48">
        <v>0.401540000000011</v>
      </c>
      <c r="E48" s="1">
        <v>45846</v>
      </c>
      <c r="F48">
        <v>227709400</v>
      </c>
      <c r="G48">
        <v>4</v>
      </c>
      <c r="H48">
        <v>9.6293566666999997</v>
      </c>
      <c r="I48">
        <v>49.679530333300001</v>
      </c>
      <c r="J48">
        <v>4.6600000000000003E-2</v>
      </c>
      <c r="K48">
        <v>110.82</v>
      </c>
      <c r="L48">
        <v>-1224.42</v>
      </c>
      <c r="M48">
        <v>157.21</v>
      </c>
      <c r="N48">
        <v>167.4</v>
      </c>
      <c r="O48">
        <v>33800</v>
      </c>
      <c r="P48">
        <v>0.92700000000000005</v>
      </c>
      <c r="Q48">
        <v>-0.41821000000000103</v>
      </c>
      <c r="R48">
        <v>66.372550000000004</v>
      </c>
      <c r="S48">
        <v>-0.12762848483528699</v>
      </c>
      <c r="T48">
        <v>-0.35817000000000099</v>
      </c>
      <c r="U48" s="1">
        <v>45846</v>
      </c>
      <c r="V48">
        <v>227709400</v>
      </c>
      <c r="W48">
        <v>4</v>
      </c>
      <c r="X48">
        <v>9.6296823332999999</v>
      </c>
      <c r="Y48">
        <v>49.679564666700003</v>
      </c>
      <c r="Z48">
        <v>4.6609999999999999E-2</v>
      </c>
      <c r="AA48">
        <v>492.63</v>
      </c>
      <c r="AB48">
        <v>1126.1199999999999</v>
      </c>
      <c r="AC48">
        <v>163.22</v>
      </c>
      <c r="AD48">
        <v>167.4</v>
      </c>
      <c r="AE48">
        <v>33800</v>
      </c>
      <c r="AF48">
        <v>0.56499999999999995</v>
      </c>
      <c r="AG48">
        <v>9.6295263332999994</v>
      </c>
      <c r="AH48">
        <v>49.679520500000002</v>
      </c>
      <c r="AI48">
        <v>12</v>
      </c>
      <c r="AJ48">
        <v>0.49</v>
      </c>
      <c r="AK48">
        <v>169</v>
      </c>
      <c r="AL48">
        <v>227709400</v>
      </c>
      <c r="AM48">
        <v>1.508</v>
      </c>
    </row>
    <row r="49" spans="1:39" x14ac:dyDescent="0.25">
      <c r="A49">
        <v>0.83338000000003298</v>
      </c>
      <c r="B49">
        <v>275.55430000000001</v>
      </c>
      <c r="C49">
        <v>0.35287636359166602</v>
      </c>
      <c r="D49">
        <v>0.38269999999999899</v>
      </c>
      <c r="E49" s="1">
        <v>45846</v>
      </c>
      <c r="F49">
        <v>227709600</v>
      </c>
      <c r="G49">
        <v>4</v>
      </c>
      <c r="H49">
        <v>9.6293568332999993</v>
      </c>
      <c r="I49">
        <v>49.67953</v>
      </c>
      <c r="J49">
        <v>4.65E-2</v>
      </c>
      <c r="K49">
        <v>119.25</v>
      </c>
      <c r="L49">
        <v>-1226.28</v>
      </c>
      <c r="M49">
        <v>156.26</v>
      </c>
      <c r="N49">
        <v>167.5</v>
      </c>
      <c r="O49">
        <v>33810</v>
      </c>
      <c r="P49">
        <v>1.369</v>
      </c>
      <c r="Q49">
        <v>-0.77661000000000502</v>
      </c>
      <c r="R49">
        <v>66.014150000000001</v>
      </c>
      <c r="S49">
        <v>-0.301376060566727</v>
      </c>
      <c r="T49">
        <v>-0.35840000000000299</v>
      </c>
      <c r="U49" s="1">
        <v>45846</v>
      </c>
      <c r="V49">
        <v>227709600</v>
      </c>
      <c r="W49">
        <v>4</v>
      </c>
      <c r="X49">
        <v>9.6296824999999995</v>
      </c>
      <c r="Y49">
        <v>49.6795643333</v>
      </c>
      <c r="Z49">
        <v>4.6550000000000001E-2</v>
      </c>
      <c r="AA49">
        <v>500.37</v>
      </c>
      <c r="AB49">
        <v>1124.5899999999999</v>
      </c>
      <c r="AC49">
        <v>162.83000000000001</v>
      </c>
      <c r="AD49">
        <v>167.4</v>
      </c>
      <c r="AE49">
        <v>33800</v>
      </c>
      <c r="AF49">
        <v>3.181</v>
      </c>
      <c r="AG49">
        <v>9.6295266667000003</v>
      </c>
      <c r="AH49">
        <v>49.6795193333</v>
      </c>
      <c r="AI49">
        <v>12</v>
      </c>
      <c r="AJ49">
        <v>0.49</v>
      </c>
      <c r="AK49">
        <v>169</v>
      </c>
      <c r="AL49">
        <v>227709600</v>
      </c>
      <c r="AM49">
        <v>2.8730000000000002</v>
      </c>
    </row>
    <row r="50" spans="1:39" x14ac:dyDescent="0.25">
      <c r="A50">
        <v>1.0832400000000399</v>
      </c>
      <c r="B50">
        <v>275.80416000000002</v>
      </c>
      <c r="C50">
        <v>0.55971272733918098</v>
      </c>
      <c r="D50">
        <v>0.24986000000001199</v>
      </c>
      <c r="E50" s="1">
        <v>45846</v>
      </c>
      <c r="F50">
        <v>227709800</v>
      </c>
      <c r="G50">
        <v>4</v>
      </c>
      <c r="H50">
        <v>9.6293571667000002</v>
      </c>
      <c r="I50">
        <v>49.679528833299997</v>
      </c>
      <c r="J50">
        <v>4.6429999999999999E-2</v>
      </c>
      <c r="K50">
        <v>124.79</v>
      </c>
      <c r="L50">
        <v>-1227.69</v>
      </c>
      <c r="M50">
        <v>154.49</v>
      </c>
      <c r="N50">
        <v>167.5</v>
      </c>
      <c r="O50">
        <v>33810</v>
      </c>
      <c r="P50">
        <v>3.2519999999999998</v>
      </c>
      <c r="Q50">
        <v>-1.1937199999999899</v>
      </c>
      <c r="R50">
        <v>65.597040000000007</v>
      </c>
      <c r="S50">
        <v>-0.54502636370121804</v>
      </c>
      <c r="T50">
        <v>-0.41710999999999299</v>
      </c>
      <c r="U50" s="1">
        <v>45846</v>
      </c>
      <c r="V50">
        <v>227709800</v>
      </c>
      <c r="W50">
        <v>4</v>
      </c>
      <c r="X50">
        <v>9.6296828333000004</v>
      </c>
      <c r="Y50">
        <v>49.679563333300003</v>
      </c>
      <c r="Z50">
        <v>4.6510000000000003E-2</v>
      </c>
      <c r="AA50">
        <v>509</v>
      </c>
      <c r="AB50">
        <v>1121.93</v>
      </c>
      <c r="AC50">
        <v>160.80000000000001</v>
      </c>
      <c r="AD50">
        <v>167.4</v>
      </c>
      <c r="AE50">
        <v>33800</v>
      </c>
      <c r="AF50">
        <v>2.2690000000000001</v>
      </c>
      <c r="AG50">
        <v>9.6295273333000004</v>
      </c>
      <c r="AH50">
        <v>49.679517666700001</v>
      </c>
      <c r="AI50">
        <v>12</v>
      </c>
      <c r="AJ50">
        <v>0.49</v>
      </c>
      <c r="AK50">
        <v>169</v>
      </c>
      <c r="AL50">
        <v>227709800</v>
      </c>
      <c r="AM50">
        <v>3.766</v>
      </c>
    </row>
    <row r="51" spans="1:39" x14ac:dyDescent="0.25">
      <c r="A51">
        <v>0.90546000000000504</v>
      </c>
      <c r="B51">
        <v>275.62637999999998</v>
      </c>
      <c r="C51">
        <v>0.65328121208756496</v>
      </c>
      <c r="D51">
        <v>-0.17778000000004099</v>
      </c>
      <c r="E51" s="1">
        <v>45846</v>
      </c>
      <c r="F51">
        <v>227710000</v>
      </c>
      <c r="G51">
        <v>4</v>
      </c>
      <c r="H51">
        <v>9.6293579999999999</v>
      </c>
      <c r="I51">
        <v>49.679526333299997</v>
      </c>
      <c r="J51">
        <v>4.6429999999999999E-2</v>
      </c>
      <c r="K51">
        <v>120.98</v>
      </c>
      <c r="L51">
        <v>-1228.04</v>
      </c>
      <c r="M51">
        <v>158.61000000000001</v>
      </c>
      <c r="N51">
        <v>167.4</v>
      </c>
      <c r="O51">
        <v>33800</v>
      </c>
      <c r="P51">
        <v>5.2770000000000001</v>
      </c>
      <c r="Q51">
        <v>-0.90047000000001198</v>
      </c>
      <c r="R51">
        <v>65.890289999999993</v>
      </c>
      <c r="S51">
        <v>-0.63479575754273698</v>
      </c>
      <c r="T51">
        <v>0.29324999999998602</v>
      </c>
      <c r="U51" s="1">
        <v>45846</v>
      </c>
      <c r="V51">
        <v>227710000</v>
      </c>
      <c r="W51">
        <v>4</v>
      </c>
      <c r="X51">
        <v>9.6296836667000001</v>
      </c>
      <c r="Y51">
        <v>49.679560666699999</v>
      </c>
      <c r="Z51">
        <v>4.6589999999999999E-2</v>
      </c>
      <c r="AA51">
        <v>502.3</v>
      </c>
      <c r="AB51">
        <v>1122.4000000000001</v>
      </c>
      <c r="AC51">
        <v>167.02</v>
      </c>
      <c r="AD51">
        <v>167.4</v>
      </c>
      <c r="AE51">
        <v>33800</v>
      </c>
      <c r="AF51">
        <v>5.34</v>
      </c>
      <c r="AG51">
        <v>9.6295281667000001</v>
      </c>
      <c r="AH51">
        <v>49.679515666699999</v>
      </c>
      <c r="AI51">
        <v>12</v>
      </c>
      <c r="AJ51">
        <v>0.49</v>
      </c>
      <c r="AK51">
        <v>169</v>
      </c>
      <c r="AL51">
        <v>227710000</v>
      </c>
      <c r="AM51">
        <v>4.3259999999999996</v>
      </c>
    </row>
    <row r="52" spans="1:39" x14ac:dyDescent="0.25">
      <c r="A52">
        <v>0.22788000000002701</v>
      </c>
      <c r="B52">
        <v>274.94880000000001</v>
      </c>
      <c r="C52">
        <v>0.50499696971115304</v>
      </c>
      <c r="D52">
        <v>-0.67757999999997698</v>
      </c>
      <c r="E52" s="1">
        <v>45846</v>
      </c>
      <c r="F52">
        <v>227710200</v>
      </c>
      <c r="G52">
        <v>4</v>
      </c>
      <c r="H52">
        <v>9.6293591667000005</v>
      </c>
      <c r="I52">
        <v>49.679522833299998</v>
      </c>
      <c r="J52">
        <v>4.6530000000000002E-2</v>
      </c>
      <c r="K52">
        <v>106.22</v>
      </c>
      <c r="L52">
        <v>-1226.75</v>
      </c>
      <c r="M52">
        <v>154.18</v>
      </c>
      <c r="N52">
        <v>167.5</v>
      </c>
      <c r="O52">
        <v>33810</v>
      </c>
      <c r="P52">
        <v>8.4510000000000005</v>
      </c>
      <c r="Q52">
        <v>-0.26635000000000197</v>
      </c>
      <c r="R52">
        <v>66.524410000000003</v>
      </c>
      <c r="S52">
        <v>-0.49720484849895702</v>
      </c>
      <c r="T52">
        <v>0.63412000000001001</v>
      </c>
      <c r="U52" s="1">
        <v>45846</v>
      </c>
      <c r="V52">
        <v>227710200</v>
      </c>
      <c r="W52">
        <v>4</v>
      </c>
      <c r="X52">
        <v>9.6296850000000003</v>
      </c>
      <c r="Y52">
        <v>49.6795571667</v>
      </c>
      <c r="Z52">
        <v>4.6739999999999997E-2</v>
      </c>
      <c r="AA52">
        <v>488.33</v>
      </c>
      <c r="AB52">
        <v>1124.3900000000001</v>
      </c>
      <c r="AC52">
        <v>167.41</v>
      </c>
      <c r="AD52">
        <v>167.4</v>
      </c>
      <c r="AE52">
        <v>33800</v>
      </c>
      <c r="AF52">
        <v>8.1720000000000006</v>
      </c>
      <c r="AG52">
        <v>9.6295289999999998</v>
      </c>
      <c r="AH52">
        <v>49.679513333300001</v>
      </c>
      <c r="AI52">
        <v>12</v>
      </c>
      <c r="AJ52">
        <v>0.49</v>
      </c>
      <c r="AK52">
        <v>169</v>
      </c>
      <c r="AL52">
        <v>227710200</v>
      </c>
      <c r="AM52">
        <v>4.7590000000000003</v>
      </c>
    </row>
    <row r="53" spans="1:39" x14ac:dyDescent="0.25">
      <c r="A53">
        <v>-0.32009999999996802</v>
      </c>
      <c r="B53">
        <v>274.40082000000001</v>
      </c>
      <c r="C53">
        <v>0.190293939398438</v>
      </c>
      <c r="D53">
        <v>-0.54797999999999503</v>
      </c>
      <c r="E53" s="1">
        <v>45846</v>
      </c>
      <c r="F53">
        <v>227710400</v>
      </c>
      <c r="G53">
        <v>4</v>
      </c>
      <c r="H53">
        <v>9.6293600000000001</v>
      </c>
      <c r="I53">
        <v>49.6795193333</v>
      </c>
      <c r="J53">
        <v>4.666E-2</v>
      </c>
      <c r="K53">
        <v>94.23</v>
      </c>
      <c r="L53">
        <v>-1224.42</v>
      </c>
      <c r="M53">
        <v>148.22</v>
      </c>
      <c r="N53">
        <v>167.6</v>
      </c>
      <c r="O53">
        <v>33820</v>
      </c>
      <c r="P53">
        <v>6.508</v>
      </c>
      <c r="Q53">
        <v>0.52910999999998798</v>
      </c>
      <c r="R53">
        <v>67.319869999999995</v>
      </c>
      <c r="S53">
        <v>-0.13074727273509701</v>
      </c>
      <c r="T53">
        <v>0.79545999999999095</v>
      </c>
      <c r="U53" s="1">
        <v>45846</v>
      </c>
      <c r="V53">
        <v>227710400</v>
      </c>
      <c r="W53">
        <v>4</v>
      </c>
      <c r="X53">
        <v>9.6296859999999995</v>
      </c>
      <c r="Y53">
        <v>49.679553166700003</v>
      </c>
      <c r="Z53">
        <v>4.6879999999999998E-2</v>
      </c>
      <c r="AA53">
        <v>471.24</v>
      </c>
      <c r="AB53">
        <v>1127.6300000000001</v>
      </c>
      <c r="AC53">
        <v>170.92</v>
      </c>
      <c r="AD53">
        <v>167.3</v>
      </c>
      <c r="AE53">
        <v>33790</v>
      </c>
      <c r="AF53">
        <v>8.5719999999999992</v>
      </c>
      <c r="AG53">
        <v>9.6295296666999999</v>
      </c>
      <c r="AH53">
        <v>49.679510999999998</v>
      </c>
      <c r="AI53">
        <v>12</v>
      </c>
      <c r="AJ53">
        <v>0.49</v>
      </c>
      <c r="AK53">
        <v>169</v>
      </c>
      <c r="AL53">
        <v>227710400</v>
      </c>
      <c r="AM53">
        <v>4.6920000000000002</v>
      </c>
    </row>
    <row r="54" spans="1:39" x14ac:dyDescent="0.25">
      <c r="A54">
        <v>-0.27455999999995101</v>
      </c>
      <c r="B54">
        <v>274.44636000000003</v>
      </c>
      <c r="C54">
        <v>-8.9753939403316899E-2</v>
      </c>
      <c r="D54">
        <v>4.5540000000016699E-2</v>
      </c>
      <c r="E54" s="1">
        <v>45846</v>
      </c>
      <c r="F54">
        <v>227710600</v>
      </c>
      <c r="G54">
        <v>4</v>
      </c>
      <c r="H54">
        <v>9.6293601666999997</v>
      </c>
      <c r="I54">
        <v>49.679517166700002</v>
      </c>
      <c r="J54">
        <v>4.6679999999999999E-2</v>
      </c>
      <c r="K54">
        <v>95.15</v>
      </c>
      <c r="L54">
        <v>-1223.7</v>
      </c>
      <c r="M54">
        <v>147.88</v>
      </c>
      <c r="N54">
        <v>167.5</v>
      </c>
      <c r="O54">
        <v>33810</v>
      </c>
      <c r="P54">
        <v>5.3220000000000001</v>
      </c>
      <c r="Q54">
        <v>0.62085999999999297</v>
      </c>
      <c r="R54">
        <v>67.411619999999999</v>
      </c>
      <c r="S54">
        <v>0.22796060607302401</v>
      </c>
      <c r="T54">
        <v>9.1750000000004606E-2</v>
      </c>
      <c r="U54" s="1">
        <v>45846</v>
      </c>
      <c r="V54">
        <v>227710600</v>
      </c>
      <c r="W54">
        <v>4</v>
      </c>
      <c r="X54">
        <v>9.6296861667000009</v>
      </c>
      <c r="Y54">
        <v>49.679550833299999</v>
      </c>
      <c r="Z54">
        <v>4.6859999999999999E-2</v>
      </c>
      <c r="AA54">
        <v>469.62</v>
      </c>
      <c r="AB54">
        <v>1128.8399999999999</v>
      </c>
      <c r="AC54">
        <v>178.6</v>
      </c>
      <c r="AD54">
        <v>167.2</v>
      </c>
      <c r="AE54">
        <v>33779.999999999898</v>
      </c>
      <c r="AF54">
        <v>4.2759999999999998</v>
      </c>
      <c r="AG54">
        <v>9.6295296666999999</v>
      </c>
      <c r="AH54">
        <v>49.679508666700002</v>
      </c>
      <c r="AI54">
        <v>12</v>
      </c>
      <c r="AJ54">
        <v>0.49</v>
      </c>
      <c r="AK54">
        <v>169</v>
      </c>
      <c r="AL54">
        <v>227710600</v>
      </c>
      <c r="AM54">
        <v>4.9829999999999997</v>
      </c>
    </row>
    <row r="55" spans="1:39" x14ac:dyDescent="0.25">
      <c r="A55">
        <v>0.14950000000004501</v>
      </c>
      <c r="B55">
        <v>274.87042000000002</v>
      </c>
      <c r="C55">
        <v>-0.226970303040477</v>
      </c>
      <c r="D55">
        <v>0.42405999999999699</v>
      </c>
      <c r="E55" s="1">
        <v>45846</v>
      </c>
      <c r="F55">
        <v>227710800</v>
      </c>
      <c r="G55">
        <v>4</v>
      </c>
      <c r="H55">
        <v>9.6293600000000001</v>
      </c>
      <c r="I55">
        <v>49.679515500000001</v>
      </c>
      <c r="J55">
        <v>4.6600000000000003E-2</v>
      </c>
      <c r="K55">
        <v>104.4</v>
      </c>
      <c r="L55">
        <v>-1225.17</v>
      </c>
      <c r="M55">
        <v>144.77000000000001</v>
      </c>
      <c r="N55">
        <v>167.6</v>
      </c>
      <c r="O55">
        <v>33820</v>
      </c>
      <c r="P55">
        <v>2.2440000000000002</v>
      </c>
      <c r="Q55">
        <v>0.485119999999994</v>
      </c>
      <c r="R55">
        <v>67.275880000000001</v>
      </c>
      <c r="S55">
        <v>0.50228666668286504</v>
      </c>
      <c r="T55">
        <v>-0.135739999999998</v>
      </c>
      <c r="U55" s="1">
        <v>45846</v>
      </c>
      <c r="V55">
        <v>227710800</v>
      </c>
      <c r="W55">
        <v>4</v>
      </c>
      <c r="X55">
        <v>9.6296861667000009</v>
      </c>
      <c r="Y55">
        <v>49.679548666700001</v>
      </c>
      <c r="Z55">
        <v>4.684E-2</v>
      </c>
      <c r="AA55">
        <v>472.48</v>
      </c>
      <c r="AB55">
        <v>1128.1600000000001</v>
      </c>
      <c r="AC55">
        <v>183.32</v>
      </c>
      <c r="AD55">
        <v>167.2</v>
      </c>
      <c r="AE55">
        <v>33779.999999999898</v>
      </c>
      <c r="AF55">
        <v>4.0019999999999998</v>
      </c>
      <c r="AG55">
        <v>9.6295296666999999</v>
      </c>
      <c r="AH55">
        <v>49.679506166700001</v>
      </c>
      <c r="AI55">
        <v>12</v>
      </c>
      <c r="AJ55">
        <v>0.49</v>
      </c>
      <c r="AK55">
        <v>169</v>
      </c>
      <c r="AL55">
        <v>227710800</v>
      </c>
      <c r="AM55">
        <v>4.8600000000000003</v>
      </c>
    </row>
    <row r="56" spans="1:39" x14ac:dyDescent="0.25">
      <c r="A56">
        <v>0.75954000000001498</v>
      </c>
      <c r="B56">
        <v>275.48045999999999</v>
      </c>
      <c r="C56">
        <v>-0.186119999922953</v>
      </c>
      <c r="D56">
        <v>0.61003999999996905</v>
      </c>
      <c r="E56" s="1">
        <v>45846</v>
      </c>
      <c r="F56">
        <v>227711000</v>
      </c>
      <c r="G56">
        <v>4</v>
      </c>
      <c r="H56">
        <v>9.6293605000000007</v>
      </c>
      <c r="I56">
        <v>49.679514500000003</v>
      </c>
      <c r="J56">
        <v>4.648E-2</v>
      </c>
      <c r="K56">
        <v>117.73</v>
      </c>
      <c r="L56">
        <v>-1227.1099999999999</v>
      </c>
      <c r="M56">
        <v>141.41</v>
      </c>
      <c r="N56">
        <v>167.6</v>
      </c>
      <c r="O56">
        <v>33820</v>
      </c>
      <c r="P56">
        <v>2.996</v>
      </c>
      <c r="Q56">
        <v>6.16699999999923E-2</v>
      </c>
      <c r="R56">
        <v>66.852429999999998</v>
      </c>
      <c r="S56">
        <v>0.61238363621726899</v>
      </c>
      <c r="T56">
        <v>-0.42345000000000199</v>
      </c>
      <c r="U56" s="1">
        <v>45846</v>
      </c>
      <c r="V56">
        <v>227711000</v>
      </c>
      <c r="W56">
        <v>4</v>
      </c>
      <c r="X56">
        <v>9.6296866666999996</v>
      </c>
      <c r="Y56">
        <v>49.679547166699997</v>
      </c>
      <c r="Z56">
        <v>4.675E-2</v>
      </c>
      <c r="AA56">
        <v>481.82</v>
      </c>
      <c r="AB56">
        <v>1127.03</v>
      </c>
      <c r="AC56">
        <v>188.09</v>
      </c>
      <c r="AD56">
        <v>167.1</v>
      </c>
      <c r="AE56">
        <v>33770</v>
      </c>
      <c r="AF56">
        <v>3.6930000000000001</v>
      </c>
      <c r="AG56">
        <v>9.6295303333</v>
      </c>
      <c r="AH56">
        <v>49.679503833299997</v>
      </c>
      <c r="AI56">
        <v>12</v>
      </c>
      <c r="AJ56">
        <v>0.49</v>
      </c>
      <c r="AK56">
        <v>169</v>
      </c>
      <c r="AL56">
        <v>227711000</v>
      </c>
      <c r="AM56">
        <v>4.6820000000000004</v>
      </c>
    </row>
    <row r="57" spans="1:39" x14ac:dyDescent="0.25">
      <c r="A57">
        <v>0.89112000000000002</v>
      </c>
      <c r="B57">
        <v>275.61203999999998</v>
      </c>
      <c r="C57">
        <v>-0.16089878787311401</v>
      </c>
      <c r="D57">
        <v>0.13157999999998499</v>
      </c>
      <c r="E57" s="1">
        <v>45846</v>
      </c>
      <c r="F57">
        <v>227711200</v>
      </c>
      <c r="G57">
        <v>4</v>
      </c>
      <c r="H57">
        <v>9.6293616666999995</v>
      </c>
      <c r="I57">
        <v>49.679512333300003</v>
      </c>
      <c r="J57">
        <v>4.6510000000000003E-2</v>
      </c>
      <c r="K57">
        <v>120.46</v>
      </c>
      <c r="L57">
        <v>-1225.94</v>
      </c>
      <c r="M57">
        <v>137.04</v>
      </c>
      <c r="N57">
        <v>167.7</v>
      </c>
      <c r="O57">
        <v>33829.999999999898</v>
      </c>
      <c r="P57">
        <v>4.6210000000000004</v>
      </c>
      <c r="Q57">
        <v>4.6759999999991898E-2</v>
      </c>
      <c r="R57">
        <v>66.837519999999998</v>
      </c>
      <c r="S57">
        <v>0.72140424240791901</v>
      </c>
      <c r="T57">
        <v>-1.49100000000004E-2</v>
      </c>
      <c r="U57" s="1">
        <v>45846</v>
      </c>
      <c r="V57">
        <v>227711200</v>
      </c>
      <c r="W57">
        <v>4</v>
      </c>
      <c r="X57">
        <v>9.6296878333000002</v>
      </c>
      <c r="Y57">
        <v>49.679544999999997</v>
      </c>
      <c r="Z57">
        <v>4.6679999999999999E-2</v>
      </c>
      <c r="AA57">
        <v>482.76</v>
      </c>
      <c r="AB57">
        <v>1128.4000000000001</v>
      </c>
      <c r="AC57">
        <v>190.63</v>
      </c>
      <c r="AD57">
        <v>167.1</v>
      </c>
      <c r="AE57">
        <v>33770</v>
      </c>
      <c r="AF57">
        <v>3.3340000000000001</v>
      </c>
      <c r="AG57">
        <v>9.6295311666999996</v>
      </c>
      <c r="AH57">
        <v>49.679501666699998</v>
      </c>
      <c r="AI57">
        <v>12</v>
      </c>
      <c r="AJ57">
        <v>0.49</v>
      </c>
      <c r="AK57">
        <v>169</v>
      </c>
      <c r="AL57">
        <v>227711200</v>
      </c>
      <c r="AM57">
        <v>4.8319999999999999</v>
      </c>
    </row>
    <row r="58" spans="1:39" x14ac:dyDescent="0.25">
      <c r="A58">
        <v>0.607140000000015</v>
      </c>
      <c r="B58">
        <v>275.32805999999999</v>
      </c>
      <c r="C58">
        <v>-0.13030909091552101</v>
      </c>
      <c r="D58">
        <v>-0.28397999999998502</v>
      </c>
      <c r="E58" s="1">
        <v>45846</v>
      </c>
      <c r="F58">
        <v>227711400</v>
      </c>
      <c r="G58">
        <v>4</v>
      </c>
      <c r="H58">
        <v>9.6293621667</v>
      </c>
      <c r="I58">
        <v>49.679509500000002</v>
      </c>
      <c r="J58">
        <v>4.6589999999999999E-2</v>
      </c>
      <c r="K58">
        <v>114.19</v>
      </c>
      <c r="L58">
        <v>-1224.47</v>
      </c>
      <c r="M58">
        <v>133.32</v>
      </c>
      <c r="N58">
        <v>167.7</v>
      </c>
      <c r="O58">
        <v>33829.999999999898</v>
      </c>
      <c r="P58">
        <v>5.617</v>
      </c>
      <c r="Q58">
        <v>0.30592000000000003</v>
      </c>
      <c r="R58">
        <v>67.096680000000006</v>
      </c>
      <c r="S58">
        <v>0.77524212118372604</v>
      </c>
      <c r="T58">
        <v>0.259160000000008</v>
      </c>
      <c r="U58" s="1">
        <v>45846</v>
      </c>
      <c r="V58">
        <v>227711400</v>
      </c>
      <c r="W58">
        <v>4</v>
      </c>
      <c r="X58">
        <v>9.6296885000000003</v>
      </c>
      <c r="Y58">
        <v>49.679542166700003</v>
      </c>
      <c r="Z58">
        <v>4.675E-2</v>
      </c>
      <c r="AA58">
        <v>477.01</v>
      </c>
      <c r="AB58">
        <v>1129.05</v>
      </c>
      <c r="AC58">
        <v>196.47</v>
      </c>
      <c r="AD58">
        <v>167.1</v>
      </c>
      <c r="AE58">
        <v>33770</v>
      </c>
      <c r="AF58">
        <v>6.1440000000000001</v>
      </c>
      <c r="AG58">
        <v>9.6295316667000002</v>
      </c>
      <c r="AH58">
        <v>49.679499166699998</v>
      </c>
      <c r="AI58">
        <v>12</v>
      </c>
      <c r="AJ58">
        <v>0.49</v>
      </c>
      <c r="AK58">
        <v>169</v>
      </c>
      <c r="AL58">
        <v>227711400</v>
      </c>
      <c r="AM58">
        <v>4.9509999999999996</v>
      </c>
    </row>
    <row r="59" spans="1:39" x14ac:dyDescent="0.25">
      <c r="A59">
        <v>0.368400000000008</v>
      </c>
      <c r="B59">
        <v>275.08931999999999</v>
      </c>
      <c r="C59">
        <v>-4.6746060662148599E-2</v>
      </c>
      <c r="D59">
        <v>-0.238740000000007</v>
      </c>
      <c r="E59" s="1">
        <v>45846</v>
      </c>
      <c r="F59">
        <v>227711600</v>
      </c>
      <c r="G59">
        <v>4</v>
      </c>
      <c r="H59">
        <v>9.6293620000000004</v>
      </c>
      <c r="I59">
        <v>49.6795066667</v>
      </c>
      <c r="J59">
        <v>4.6559999999999997E-2</v>
      </c>
      <c r="K59">
        <v>109.17</v>
      </c>
      <c r="L59">
        <v>-1225.8599999999999</v>
      </c>
      <c r="M59">
        <v>128.93</v>
      </c>
      <c r="N59">
        <v>167.8</v>
      </c>
      <c r="O59">
        <v>33840</v>
      </c>
      <c r="P59">
        <v>4.8959999999999999</v>
      </c>
      <c r="Q59">
        <v>0.75430999999998904</v>
      </c>
      <c r="R59">
        <v>67.545069999999996</v>
      </c>
      <c r="S59">
        <v>0.78801484847498504</v>
      </c>
      <c r="T59">
        <v>0.44838999999998902</v>
      </c>
      <c r="U59" s="1">
        <v>45846</v>
      </c>
      <c r="V59">
        <v>227711600</v>
      </c>
      <c r="W59">
        <v>4</v>
      </c>
      <c r="X59">
        <v>9.6296881666999994</v>
      </c>
      <c r="Y59">
        <v>49.679538833300001</v>
      </c>
      <c r="Z59">
        <v>4.6899999999999997E-2</v>
      </c>
      <c r="AA59">
        <v>466.59</v>
      </c>
      <c r="AB59">
        <v>1128.96</v>
      </c>
      <c r="AC59">
        <v>197.3</v>
      </c>
      <c r="AD59">
        <v>167.1</v>
      </c>
      <c r="AE59">
        <v>33770</v>
      </c>
      <c r="AF59">
        <v>7.556</v>
      </c>
      <c r="AG59">
        <v>9.6295318332999997</v>
      </c>
      <c r="AH59">
        <v>49.6794968333</v>
      </c>
      <c r="AI59">
        <v>12</v>
      </c>
      <c r="AJ59">
        <v>0.49</v>
      </c>
      <c r="AK59">
        <v>169</v>
      </c>
      <c r="AL59">
        <v>227711600</v>
      </c>
      <c r="AM59">
        <v>4.766</v>
      </c>
    </row>
    <row r="60" spans="1:39" x14ac:dyDescent="0.25">
      <c r="A60">
        <v>0.54358000000001905</v>
      </c>
      <c r="B60">
        <v>275.2645</v>
      </c>
      <c r="C60">
        <v>0.19606060610545201</v>
      </c>
      <c r="D60">
        <v>0.17518000000001099</v>
      </c>
      <c r="E60" s="1">
        <v>45846</v>
      </c>
      <c r="F60">
        <v>227711800</v>
      </c>
      <c r="G60">
        <v>4</v>
      </c>
      <c r="H60">
        <v>9.6293623332999996</v>
      </c>
      <c r="I60">
        <v>49.679504666699998</v>
      </c>
      <c r="J60">
        <v>4.65E-2</v>
      </c>
      <c r="K60">
        <v>113.06</v>
      </c>
      <c r="L60">
        <v>-1227</v>
      </c>
      <c r="M60">
        <v>127.19</v>
      </c>
      <c r="N60">
        <v>167.8</v>
      </c>
      <c r="O60">
        <v>33840</v>
      </c>
      <c r="P60">
        <v>4.1849999999999996</v>
      </c>
      <c r="Q60">
        <v>1.02022999999999</v>
      </c>
      <c r="R60">
        <v>67.810990000000004</v>
      </c>
      <c r="S60">
        <v>0.64149151515422098</v>
      </c>
      <c r="T60">
        <v>0.26592000000000798</v>
      </c>
      <c r="U60" s="1">
        <v>45846</v>
      </c>
      <c r="V60">
        <v>227711800</v>
      </c>
      <c r="W60">
        <v>4</v>
      </c>
      <c r="X60">
        <v>9.6296886666999999</v>
      </c>
      <c r="Y60">
        <v>49.679535833300001</v>
      </c>
      <c r="Z60">
        <v>4.7010000000000003E-2</v>
      </c>
      <c r="AA60">
        <v>460.31</v>
      </c>
      <c r="AB60">
        <v>1128.57</v>
      </c>
      <c r="AC60">
        <v>202.17</v>
      </c>
      <c r="AD60">
        <v>167</v>
      </c>
      <c r="AE60">
        <v>33760</v>
      </c>
      <c r="AF60">
        <v>3.7050000000000001</v>
      </c>
      <c r="AG60">
        <v>9.6295323333000002</v>
      </c>
      <c r="AH60">
        <v>49.679494499999997</v>
      </c>
      <c r="AI60">
        <v>12</v>
      </c>
      <c r="AJ60">
        <v>0.49</v>
      </c>
      <c r="AK60">
        <v>169</v>
      </c>
      <c r="AL60">
        <v>227711800</v>
      </c>
      <c r="AM60">
        <v>4.5380000000000003</v>
      </c>
    </row>
    <row r="61" spans="1:39" x14ac:dyDescent="0.25">
      <c r="A61">
        <v>0.70734000000004404</v>
      </c>
      <c r="B61">
        <v>275.42826000000002</v>
      </c>
      <c r="C61">
        <v>0.25489454548653601</v>
      </c>
      <c r="D61">
        <v>-9.1999999999643391E-3</v>
      </c>
      <c r="E61" s="1">
        <v>45846</v>
      </c>
      <c r="F61">
        <v>227712400</v>
      </c>
      <c r="G61">
        <v>4</v>
      </c>
      <c r="H61">
        <v>9.6293648333000004</v>
      </c>
      <c r="I61">
        <v>49.6794981667</v>
      </c>
      <c r="J61">
        <v>4.6550000000000001E-2</v>
      </c>
      <c r="K61">
        <v>116.44</v>
      </c>
      <c r="L61">
        <v>-1225.4100000000001</v>
      </c>
      <c r="M61">
        <v>124.55</v>
      </c>
      <c r="N61">
        <v>167.8</v>
      </c>
      <c r="O61">
        <v>33840</v>
      </c>
      <c r="P61">
        <v>5.8979999999999997</v>
      </c>
      <c r="Q61">
        <v>1.9669999999990698E-2</v>
      </c>
      <c r="R61">
        <v>66.810429999999997</v>
      </c>
      <c r="S61">
        <v>-8.44927272851074E-2</v>
      </c>
      <c r="T61">
        <v>-1.50000000004979E-4</v>
      </c>
      <c r="U61" s="1">
        <v>45846</v>
      </c>
      <c r="V61">
        <v>227712400</v>
      </c>
      <c r="W61">
        <v>4</v>
      </c>
      <c r="X61">
        <v>9.6296906667000002</v>
      </c>
      <c r="Y61">
        <v>49.679530999999997</v>
      </c>
      <c r="Z61">
        <v>4.675E-2</v>
      </c>
      <c r="AA61">
        <v>482.64</v>
      </c>
      <c r="AB61">
        <v>1126.6600000000001</v>
      </c>
      <c r="AC61">
        <v>214.55</v>
      </c>
      <c r="AD61">
        <v>166.9</v>
      </c>
      <c r="AE61">
        <v>33750</v>
      </c>
      <c r="AF61">
        <v>5.6029999999999998</v>
      </c>
      <c r="AG61">
        <v>9.6295343333000005</v>
      </c>
      <c r="AH61">
        <v>49.679487666699998</v>
      </c>
      <c r="AI61">
        <v>12</v>
      </c>
      <c r="AJ61">
        <v>0.49</v>
      </c>
      <c r="AK61">
        <v>169</v>
      </c>
      <c r="AL61">
        <v>227712400</v>
      </c>
      <c r="AM61">
        <v>4.7729999999999997</v>
      </c>
    </row>
    <row r="62" spans="1:39" x14ac:dyDescent="0.25">
      <c r="A62">
        <v>0.437340000000006</v>
      </c>
      <c r="B62">
        <v>275.15825999999998</v>
      </c>
      <c r="C62">
        <v>3.5315151328808299E-3</v>
      </c>
      <c r="D62">
        <v>-0.27000000000003799</v>
      </c>
      <c r="E62" s="1">
        <v>45846</v>
      </c>
      <c r="F62">
        <v>227712600</v>
      </c>
      <c r="G62">
        <v>4</v>
      </c>
      <c r="H62">
        <v>9.629365</v>
      </c>
      <c r="I62">
        <v>49.679495166700001</v>
      </c>
      <c r="J62">
        <v>4.6559999999999997E-2</v>
      </c>
      <c r="K62">
        <v>110.63</v>
      </c>
      <c r="L62">
        <v>-1225.56</v>
      </c>
      <c r="M62">
        <v>119.05</v>
      </c>
      <c r="N62">
        <v>167.8</v>
      </c>
      <c r="O62">
        <v>33840</v>
      </c>
      <c r="P62">
        <v>5.6539999999999999</v>
      </c>
      <c r="Q62">
        <v>9.8999999998738899E-4</v>
      </c>
      <c r="R62">
        <v>66.791749999999993</v>
      </c>
      <c r="S62">
        <v>-0.11352272728330901</v>
      </c>
      <c r="T62">
        <v>-1.8680000000003302E-2</v>
      </c>
      <c r="U62" s="1">
        <v>45846</v>
      </c>
      <c r="V62">
        <v>227712600</v>
      </c>
      <c r="W62">
        <v>4</v>
      </c>
      <c r="X62">
        <v>9.6296908332999998</v>
      </c>
      <c r="Y62">
        <v>49.679528666700001</v>
      </c>
      <c r="Z62">
        <v>4.6789999999999998E-2</v>
      </c>
      <c r="AA62">
        <v>482.61</v>
      </c>
      <c r="AB62">
        <v>1125.56</v>
      </c>
      <c r="AC62">
        <v>211.05</v>
      </c>
      <c r="AD62">
        <v>166.9</v>
      </c>
      <c r="AE62">
        <v>33750</v>
      </c>
      <c r="AF62">
        <v>5.5229999999999997</v>
      </c>
      <c r="AG62">
        <v>9.6295346666999997</v>
      </c>
      <c r="AH62">
        <v>49.679485333300001</v>
      </c>
      <c r="AI62">
        <v>12</v>
      </c>
      <c r="AJ62">
        <v>0.49</v>
      </c>
      <c r="AK62">
        <v>169</v>
      </c>
      <c r="AL62">
        <v>227712600</v>
      </c>
      <c r="AM62">
        <v>4.7779999999999996</v>
      </c>
    </row>
    <row r="63" spans="1:39" x14ac:dyDescent="0.25">
      <c r="A63">
        <v>6.48400000000037E-2</v>
      </c>
      <c r="B63">
        <v>274.78575999999998</v>
      </c>
      <c r="C63">
        <v>-0.25121454543496902</v>
      </c>
      <c r="D63">
        <v>-0.372500000000002</v>
      </c>
      <c r="E63" s="1">
        <v>45846</v>
      </c>
      <c r="F63">
        <v>227712800</v>
      </c>
      <c r="G63">
        <v>4</v>
      </c>
      <c r="H63">
        <v>9.6293655000000005</v>
      </c>
      <c r="I63">
        <v>49.679492166700001</v>
      </c>
      <c r="J63">
        <v>4.657E-2</v>
      </c>
      <c r="K63">
        <v>102.65</v>
      </c>
      <c r="L63">
        <v>-1226.08</v>
      </c>
      <c r="M63">
        <v>119.6</v>
      </c>
      <c r="N63">
        <v>167.8</v>
      </c>
      <c r="O63">
        <v>33850</v>
      </c>
      <c r="P63">
        <v>5.3710000000000004</v>
      </c>
      <c r="Q63">
        <v>0.45485999999999599</v>
      </c>
      <c r="R63">
        <v>67.245620000000002</v>
      </c>
      <c r="S63">
        <v>-2.6448787858189101E-2</v>
      </c>
      <c r="T63">
        <v>0.45387000000000899</v>
      </c>
      <c r="U63" s="1">
        <v>45846</v>
      </c>
      <c r="V63">
        <v>227712800</v>
      </c>
      <c r="W63">
        <v>4</v>
      </c>
      <c r="X63">
        <v>9.6296913333000003</v>
      </c>
      <c r="Y63">
        <v>49.679525333299999</v>
      </c>
      <c r="Z63">
        <v>4.6949999999999999E-2</v>
      </c>
      <c r="AA63">
        <v>472.03</v>
      </c>
      <c r="AB63">
        <v>1125.4100000000001</v>
      </c>
      <c r="AC63">
        <v>214.96</v>
      </c>
      <c r="AD63">
        <v>166.9</v>
      </c>
      <c r="AE63">
        <v>33760</v>
      </c>
      <c r="AF63">
        <v>6.157</v>
      </c>
      <c r="AG63">
        <v>9.6295351667000002</v>
      </c>
      <c r="AH63">
        <v>49.679483166700003</v>
      </c>
      <c r="AI63">
        <v>12</v>
      </c>
      <c r="AJ63">
        <v>0.49</v>
      </c>
      <c r="AK63">
        <v>169.1</v>
      </c>
      <c r="AL63">
        <v>227712800</v>
      </c>
      <c r="AM63">
        <v>4.5229999999999997</v>
      </c>
    </row>
    <row r="64" spans="1:39" x14ac:dyDescent="0.25">
      <c r="A64">
        <v>4.3480000000044997E-2</v>
      </c>
      <c r="B64">
        <v>274.76440000000002</v>
      </c>
      <c r="C64">
        <v>-0.30330848483988199</v>
      </c>
      <c r="D64">
        <v>-2.13599999999587E-2</v>
      </c>
      <c r="E64" s="1">
        <v>45846</v>
      </c>
      <c r="F64">
        <v>227713000</v>
      </c>
      <c r="G64">
        <v>4</v>
      </c>
      <c r="H64">
        <v>9.6293663333000001</v>
      </c>
      <c r="I64">
        <v>49.679489833300003</v>
      </c>
      <c r="J64">
        <v>4.6559999999999997E-2</v>
      </c>
      <c r="K64">
        <v>102.2</v>
      </c>
      <c r="L64">
        <v>-1226.21</v>
      </c>
      <c r="M64">
        <v>115.47</v>
      </c>
      <c r="N64">
        <v>167.9</v>
      </c>
      <c r="O64">
        <v>33860</v>
      </c>
      <c r="P64">
        <v>5.0250000000000004</v>
      </c>
      <c r="Q64">
        <v>0.62098999999999105</v>
      </c>
      <c r="R64">
        <v>67.411749999999998</v>
      </c>
      <c r="S64">
        <v>-3.3382727284214E-2</v>
      </c>
      <c r="T64">
        <v>0.166129999999995</v>
      </c>
      <c r="U64" s="1">
        <v>45846</v>
      </c>
      <c r="V64">
        <v>227713000</v>
      </c>
      <c r="W64">
        <v>4</v>
      </c>
      <c r="X64">
        <v>9.6296923332999995</v>
      </c>
      <c r="Y64">
        <v>49.679522833299998</v>
      </c>
      <c r="Z64">
        <v>4.7E-2</v>
      </c>
      <c r="AA64">
        <v>468.3</v>
      </c>
      <c r="AB64">
        <v>1125.6600000000001</v>
      </c>
      <c r="AC64">
        <v>212.92</v>
      </c>
      <c r="AD64">
        <v>166.9</v>
      </c>
      <c r="AE64">
        <v>33760</v>
      </c>
      <c r="AF64">
        <v>3.4340000000000002</v>
      </c>
      <c r="AG64">
        <v>9.6295361666999995</v>
      </c>
      <c r="AH64">
        <v>49.679480833299998</v>
      </c>
      <c r="AI64">
        <v>12</v>
      </c>
      <c r="AJ64">
        <v>0.49</v>
      </c>
      <c r="AK64">
        <v>169.1</v>
      </c>
      <c r="AL64">
        <v>227713000</v>
      </c>
      <c r="AM64">
        <v>4.8109999999999999</v>
      </c>
    </row>
    <row r="65" spans="1:39" x14ac:dyDescent="0.25">
      <c r="A65">
        <v>-2.5519999999971701E-2</v>
      </c>
      <c r="B65">
        <v>274.69540000000001</v>
      </c>
      <c r="C65">
        <v>-0.28696303031579901</v>
      </c>
      <c r="D65">
        <v>-6.9000000000016798E-2</v>
      </c>
      <c r="E65" s="1">
        <v>45846</v>
      </c>
      <c r="F65">
        <v>227713200</v>
      </c>
      <c r="G65">
        <v>4</v>
      </c>
      <c r="H65">
        <v>9.6293671666999998</v>
      </c>
      <c r="I65">
        <v>49.679487666699998</v>
      </c>
      <c r="J65">
        <v>4.6600000000000003E-2</v>
      </c>
      <c r="K65">
        <v>100.65</v>
      </c>
      <c r="L65">
        <v>-1225.47</v>
      </c>
      <c r="M65">
        <v>116.84</v>
      </c>
      <c r="N65">
        <v>167.9</v>
      </c>
      <c r="O65">
        <v>33860</v>
      </c>
      <c r="P65">
        <v>4.4189999999999996</v>
      </c>
      <c r="Q65">
        <v>0.16119999999999299</v>
      </c>
      <c r="R65">
        <v>66.95196</v>
      </c>
      <c r="S65">
        <v>-0.20458212123967601</v>
      </c>
      <c r="T65">
        <v>-0.45978999999999798</v>
      </c>
      <c r="U65" s="1">
        <v>45846</v>
      </c>
      <c r="V65">
        <v>227713200</v>
      </c>
      <c r="W65">
        <v>4</v>
      </c>
      <c r="X65">
        <v>9.6296929999999996</v>
      </c>
      <c r="Y65">
        <v>49.679521666699998</v>
      </c>
      <c r="Z65">
        <v>4.6879999999999998E-2</v>
      </c>
      <c r="AA65">
        <v>478.52</v>
      </c>
      <c r="AB65">
        <v>1124.69</v>
      </c>
      <c r="AC65">
        <v>212.78</v>
      </c>
      <c r="AD65">
        <v>166.9</v>
      </c>
      <c r="AE65">
        <v>33760</v>
      </c>
      <c r="AF65">
        <v>4.1210000000000004</v>
      </c>
      <c r="AG65">
        <v>9.6295371667000005</v>
      </c>
      <c r="AH65">
        <v>49.6794786667</v>
      </c>
      <c r="AI65">
        <v>12</v>
      </c>
      <c r="AJ65">
        <v>0.49</v>
      </c>
      <c r="AK65">
        <v>169.1</v>
      </c>
      <c r="AL65">
        <v>227713200</v>
      </c>
      <c r="AM65">
        <v>4.3040000000000003</v>
      </c>
    </row>
    <row r="66" spans="1:39" x14ac:dyDescent="0.25">
      <c r="A66">
        <v>0.34836000000001299</v>
      </c>
      <c r="B66">
        <v>275.06927999999999</v>
      </c>
      <c r="C66">
        <v>-0.20775636364436401</v>
      </c>
      <c r="D66">
        <v>0.373879999999985</v>
      </c>
      <c r="E66" s="1">
        <v>45846</v>
      </c>
      <c r="F66">
        <v>227713400</v>
      </c>
      <c r="G66">
        <v>4</v>
      </c>
      <c r="H66">
        <v>9.6293675000000007</v>
      </c>
      <c r="I66">
        <v>49.679486166700002</v>
      </c>
      <c r="J66">
        <v>4.648E-2</v>
      </c>
      <c r="K66">
        <v>108.92</v>
      </c>
      <c r="L66">
        <v>-1227.8900000000001</v>
      </c>
      <c r="M66">
        <v>118.33</v>
      </c>
      <c r="N66">
        <v>167.9</v>
      </c>
      <c r="O66">
        <v>33860</v>
      </c>
      <c r="P66">
        <v>2.5089999999999999</v>
      </c>
      <c r="Q66">
        <v>0.1477</v>
      </c>
      <c r="R66">
        <v>66.938460000000006</v>
      </c>
      <c r="S66">
        <v>-0.30001242424789998</v>
      </c>
      <c r="T66">
        <v>-1.3499999999993399E-2</v>
      </c>
      <c r="U66" s="1">
        <v>45846</v>
      </c>
      <c r="V66">
        <v>227713400</v>
      </c>
      <c r="W66">
        <v>4</v>
      </c>
      <c r="X66">
        <v>9.6296933333000005</v>
      </c>
      <c r="Y66">
        <v>49.679519499999998</v>
      </c>
      <c r="Z66">
        <v>4.6940000000000003E-2</v>
      </c>
      <c r="AA66">
        <v>478.09</v>
      </c>
      <c r="AB66">
        <v>1122.96</v>
      </c>
      <c r="AC66">
        <v>218.92</v>
      </c>
      <c r="AD66">
        <v>166.9</v>
      </c>
      <c r="AE66">
        <v>33760</v>
      </c>
      <c r="AF66">
        <v>3.714</v>
      </c>
      <c r="AG66">
        <v>9.6295378333000006</v>
      </c>
      <c r="AH66">
        <v>49.6794765</v>
      </c>
      <c r="AI66">
        <v>12</v>
      </c>
      <c r="AJ66">
        <v>0.49</v>
      </c>
      <c r="AK66">
        <v>169.1</v>
      </c>
      <c r="AL66">
        <v>227713400</v>
      </c>
      <c r="AM66">
        <v>4.516</v>
      </c>
    </row>
    <row r="67" spans="1:39" x14ac:dyDescent="0.25">
      <c r="A67">
        <v>0.55884000000003198</v>
      </c>
      <c r="B67">
        <v>275.27976000000001</v>
      </c>
      <c r="C67">
        <v>-0.13504242424208199</v>
      </c>
      <c r="D67">
        <v>0.21048000000001801</v>
      </c>
      <c r="E67" s="1">
        <v>45846</v>
      </c>
      <c r="F67">
        <v>227713600</v>
      </c>
      <c r="G67">
        <v>4</v>
      </c>
      <c r="H67">
        <v>9.6293676667000003</v>
      </c>
      <c r="I67">
        <v>49.679484333300003</v>
      </c>
      <c r="J67">
        <v>4.641E-2</v>
      </c>
      <c r="K67">
        <v>113.6</v>
      </c>
      <c r="L67">
        <v>-1229.33</v>
      </c>
      <c r="M67">
        <v>116.09</v>
      </c>
      <c r="N67">
        <v>167.9</v>
      </c>
      <c r="O67">
        <v>33860</v>
      </c>
      <c r="P67">
        <v>4.7069999999999999</v>
      </c>
      <c r="Q67">
        <v>-7.4100000000001304E-2</v>
      </c>
      <c r="R67">
        <v>66.716660000000005</v>
      </c>
      <c r="S67">
        <v>-0.29688121212235702</v>
      </c>
      <c r="T67">
        <v>-0.221800000000001</v>
      </c>
      <c r="U67" s="1">
        <v>45846</v>
      </c>
      <c r="V67">
        <v>227713600</v>
      </c>
      <c r="W67">
        <v>4</v>
      </c>
      <c r="X67">
        <v>9.6296935000000001</v>
      </c>
      <c r="Y67">
        <v>49.679517500000003</v>
      </c>
      <c r="Z67">
        <v>4.6920000000000003E-2</v>
      </c>
      <c r="AA67">
        <v>482.69</v>
      </c>
      <c r="AB67">
        <v>1121.68</v>
      </c>
      <c r="AC67">
        <v>219.03</v>
      </c>
      <c r="AD67">
        <v>166.9</v>
      </c>
      <c r="AE67">
        <v>33760</v>
      </c>
      <c r="AF67">
        <v>3.9279999999999999</v>
      </c>
      <c r="AG67">
        <v>9.6295383332999993</v>
      </c>
      <c r="AH67">
        <v>49.679474166699997</v>
      </c>
      <c r="AI67">
        <v>12</v>
      </c>
      <c r="AJ67">
        <v>0.49</v>
      </c>
      <c r="AK67">
        <v>169.1</v>
      </c>
      <c r="AL67">
        <v>227713600</v>
      </c>
      <c r="AM67">
        <v>4.6909999999999998</v>
      </c>
    </row>
    <row r="68" spans="1:39" x14ac:dyDescent="0.25">
      <c r="A68">
        <v>0.29678000000001198</v>
      </c>
      <c r="B68">
        <v>275.01769999999999</v>
      </c>
      <c r="C68">
        <v>-8.6947878754012095E-2</v>
      </c>
      <c r="D68">
        <v>-0.262060000000019</v>
      </c>
      <c r="E68" s="1">
        <v>45846</v>
      </c>
      <c r="F68">
        <v>227713800</v>
      </c>
      <c r="G68">
        <v>4</v>
      </c>
      <c r="H68">
        <v>9.6293686666999996</v>
      </c>
      <c r="I68">
        <v>49.679481500000001</v>
      </c>
      <c r="J68">
        <v>4.6449999999999998E-2</v>
      </c>
      <c r="K68">
        <v>107.89</v>
      </c>
      <c r="L68">
        <v>-1228.8399999999999</v>
      </c>
      <c r="M68">
        <v>115.63</v>
      </c>
      <c r="N68">
        <v>167.9</v>
      </c>
      <c r="O68">
        <v>33860</v>
      </c>
      <c r="P68">
        <v>5.9370000000000003</v>
      </c>
      <c r="Q68">
        <v>7.8309999999987598E-2</v>
      </c>
      <c r="R68">
        <v>66.869069999999994</v>
      </c>
      <c r="S68">
        <v>-0.11333696971556401</v>
      </c>
      <c r="T68">
        <v>0.152409999999989</v>
      </c>
      <c r="U68" s="1">
        <v>45846</v>
      </c>
      <c r="V68">
        <v>227713800</v>
      </c>
      <c r="W68">
        <v>4</v>
      </c>
      <c r="X68">
        <v>9.6296943332999998</v>
      </c>
      <c r="Y68">
        <v>49.679515000000002</v>
      </c>
      <c r="Z68">
        <v>4.6969999999999998E-2</v>
      </c>
      <c r="AA68">
        <v>479.22</v>
      </c>
      <c r="AB68">
        <v>1121.83</v>
      </c>
      <c r="AC68">
        <v>220.04</v>
      </c>
      <c r="AD68">
        <v>166.9</v>
      </c>
      <c r="AE68">
        <v>33760</v>
      </c>
      <c r="AF68">
        <v>5.2389999999999999</v>
      </c>
      <c r="AG68">
        <v>9.6295391667000008</v>
      </c>
      <c r="AH68">
        <v>49.679471999999997</v>
      </c>
      <c r="AI68">
        <v>12</v>
      </c>
      <c r="AJ68">
        <v>0.49</v>
      </c>
      <c r="AK68">
        <v>169.1</v>
      </c>
      <c r="AL68">
        <v>227713800</v>
      </c>
      <c r="AM68">
        <v>4.6260000000000003</v>
      </c>
    </row>
    <row r="69" spans="1:39" x14ac:dyDescent="0.25">
      <c r="A69">
        <v>-0.120159999999998</v>
      </c>
      <c r="B69">
        <v>274.60075999999998</v>
      </c>
      <c r="C69">
        <v>-0.27318666667158498</v>
      </c>
      <c r="D69">
        <v>-0.41694000000001002</v>
      </c>
      <c r="E69" s="1">
        <v>45846</v>
      </c>
      <c r="F69">
        <v>227714000</v>
      </c>
      <c r="G69">
        <v>4</v>
      </c>
      <c r="H69">
        <v>9.6293696667000006</v>
      </c>
      <c r="I69">
        <v>49.679478333299997</v>
      </c>
      <c r="J69">
        <v>4.6539999999999998E-2</v>
      </c>
      <c r="K69">
        <v>98.76</v>
      </c>
      <c r="L69">
        <v>-1227.25</v>
      </c>
      <c r="M69">
        <v>111.49</v>
      </c>
      <c r="N69">
        <v>167.9</v>
      </c>
      <c r="O69">
        <v>33860</v>
      </c>
      <c r="P69">
        <v>6.6660000000000004</v>
      </c>
      <c r="Q69">
        <v>0.29155999999998899</v>
      </c>
      <c r="R69">
        <v>67.082319999999996</v>
      </c>
      <c r="S69">
        <v>3.3315757578612798E-2</v>
      </c>
      <c r="T69">
        <v>0.21325000000000199</v>
      </c>
      <c r="U69" s="1">
        <v>45846</v>
      </c>
      <c r="V69">
        <v>227714000</v>
      </c>
      <c r="W69">
        <v>4</v>
      </c>
      <c r="X69">
        <v>9.6296953333000008</v>
      </c>
      <c r="Y69">
        <v>49.679512333300003</v>
      </c>
      <c r="Z69">
        <v>4.6989999999999997E-2</v>
      </c>
      <c r="AA69">
        <v>474.82</v>
      </c>
      <c r="AB69">
        <v>1123.0899999999999</v>
      </c>
      <c r="AC69">
        <v>219.24</v>
      </c>
      <c r="AD69">
        <v>166.9</v>
      </c>
      <c r="AE69">
        <v>33760</v>
      </c>
      <c r="AF69">
        <v>6.266</v>
      </c>
      <c r="AG69">
        <v>9.6295400000000004</v>
      </c>
      <c r="AH69">
        <v>49.679469666700001</v>
      </c>
      <c r="AI69">
        <v>12</v>
      </c>
      <c r="AJ69">
        <v>0.49</v>
      </c>
      <c r="AK69">
        <v>169.1</v>
      </c>
      <c r="AL69">
        <v>227714000</v>
      </c>
      <c r="AM69">
        <v>4.8390000000000004</v>
      </c>
    </row>
    <row r="70" spans="1:39" x14ac:dyDescent="0.25">
      <c r="A70">
        <v>-0.17874000000000401</v>
      </c>
      <c r="B70">
        <v>274.54217999999997</v>
      </c>
      <c r="C70">
        <v>-0.26659272726973798</v>
      </c>
      <c r="D70">
        <v>-5.8580000000006197E-2</v>
      </c>
      <c r="E70" s="1">
        <v>45846</v>
      </c>
      <c r="F70">
        <v>227714200</v>
      </c>
      <c r="G70">
        <v>4</v>
      </c>
      <c r="H70">
        <v>9.6293701666999993</v>
      </c>
      <c r="I70">
        <v>49.679476000000001</v>
      </c>
      <c r="J70">
        <v>4.6550000000000001E-2</v>
      </c>
      <c r="K70">
        <v>97.47</v>
      </c>
      <c r="L70">
        <v>-1226.99</v>
      </c>
      <c r="M70">
        <v>111.01</v>
      </c>
      <c r="N70">
        <v>168</v>
      </c>
      <c r="O70">
        <v>33870</v>
      </c>
      <c r="P70">
        <v>4.2060000000000004</v>
      </c>
      <c r="Q70">
        <v>0.45665999999999901</v>
      </c>
      <c r="R70">
        <v>67.247420000000005</v>
      </c>
      <c r="S70">
        <v>6.0163030301707401E-2</v>
      </c>
      <c r="T70">
        <v>0.16510000000000899</v>
      </c>
      <c r="U70" s="1">
        <v>45846</v>
      </c>
      <c r="V70">
        <v>227714200</v>
      </c>
      <c r="W70">
        <v>4</v>
      </c>
      <c r="X70">
        <v>9.6296958332999996</v>
      </c>
      <c r="Y70">
        <v>49.6795096667</v>
      </c>
      <c r="Z70">
        <v>4.7030000000000002E-2</v>
      </c>
      <c r="AA70">
        <v>471.14</v>
      </c>
      <c r="AB70">
        <v>1123.4000000000001</v>
      </c>
      <c r="AC70">
        <v>221.17</v>
      </c>
      <c r="AD70">
        <v>166.9</v>
      </c>
      <c r="AE70">
        <v>33760</v>
      </c>
      <c r="AF70">
        <v>5.5640000000000001</v>
      </c>
      <c r="AG70">
        <v>9.6295404999999992</v>
      </c>
      <c r="AH70">
        <v>49.679467333300003</v>
      </c>
      <c r="AI70">
        <v>12</v>
      </c>
      <c r="AJ70">
        <v>0.49</v>
      </c>
      <c r="AK70">
        <v>169.1</v>
      </c>
      <c r="AL70">
        <v>227714200</v>
      </c>
      <c r="AM70">
        <v>4.7080000000000002</v>
      </c>
    </row>
    <row r="71" spans="1:39" x14ac:dyDescent="0.25">
      <c r="A71">
        <v>3.5240000000044298E-2</v>
      </c>
      <c r="B71">
        <v>274.75616000000002</v>
      </c>
      <c r="C71">
        <v>-0.15044787879036001</v>
      </c>
      <c r="D71">
        <v>0.21398000000004899</v>
      </c>
      <c r="E71" s="1">
        <v>45846</v>
      </c>
      <c r="F71">
        <v>227714400</v>
      </c>
      <c r="G71">
        <v>4</v>
      </c>
      <c r="H71">
        <v>9.6293708332999994</v>
      </c>
      <c r="I71">
        <v>49.679474166699997</v>
      </c>
      <c r="J71">
        <v>4.6539999999999998E-2</v>
      </c>
      <c r="K71">
        <v>102.09</v>
      </c>
      <c r="L71">
        <v>-1226.97</v>
      </c>
      <c r="M71">
        <v>108.61</v>
      </c>
      <c r="N71">
        <v>168</v>
      </c>
      <c r="O71">
        <v>33870</v>
      </c>
      <c r="P71">
        <v>3.754</v>
      </c>
      <c r="Q71">
        <v>0.257039999999989</v>
      </c>
      <c r="R71">
        <v>67.047799999999995</v>
      </c>
      <c r="S71">
        <v>6.0433333503766302E-3</v>
      </c>
      <c r="T71">
        <v>-0.19962000000001001</v>
      </c>
      <c r="U71" s="1">
        <v>45846</v>
      </c>
      <c r="V71">
        <v>227714400</v>
      </c>
      <c r="W71">
        <v>4</v>
      </c>
      <c r="X71">
        <v>9.6296961667000005</v>
      </c>
      <c r="Y71">
        <v>49.679507666699998</v>
      </c>
      <c r="Z71">
        <v>4.6980000000000001E-2</v>
      </c>
      <c r="AA71">
        <v>475.63</v>
      </c>
      <c r="AB71">
        <v>1123.1300000000001</v>
      </c>
      <c r="AC71">
        <v>218.89</v>
      </c>
      <c r="AD71">
        <v>166.9</v>
      </c>
      <c r="AE71">
        <v>33760</v>
      </c>
      <c r="AF71">
        <v>3.4630000000000001</v>
      </c>
      <c r="AG71">
        <v>9.6295408333000001</v>
      </c>
      <c r="AH71">
        <v>49.679465</v>
      </c>
      <c r="AI71">
        <v>12</v>
      </c>
      <c r="AJ71">
        <v>0.49</v>
      </c>
      <c r="AK71">
        <v>169.1</v>
      </c>
      <c r="AL71">
        <v>227714400</v>
      </c>
      <c r="AM71">
        <v>4.8150000000000004</v>
      </c>
    </row>
    <row r="72" spans="1:39" x14ac:dyDescent="0.25">
      <c r="A72">
        <v>0.32410000000004402</v>
      </c>
      <c r="B72">
        <v>275.04502000000002</v>
      </c>
      <c r="C72">
        <v>-4.7896969616960001E-3</v>
      </c>
      <c r="D72">
        <v>0.28885999999999901</v>
      </c>
      <c r="E72" s="1">
        <v>45846</v>
      </c>
      <c r="F72">
        <v>227714600</v>
      </c>
      <c r="G72">
        <v>4</v>
      </c>
      <c r="H72">
        <v>9.6293714999999995</v>
      </c>
      <c r="I72">
        <v>49.679472333299998</v>
      </c>
      <c r="J72">
        <v>4.6489999999999997E-2</v>
      </c>
      <c r="K72">
        <v>108.38</v>
      </c>
      <c r="L72">
        <v>-1227.6400000000001</v>
      </c>
      <c r="M72">
        <v>108.83</v>
      </c>
      <c r="N72">
        <v>168</v>
      </c>
      <c r="O72">
        <v>33870</v>
      </c>
      <c r="P72">
        <v>3.569</v>
      </c>
      <c r="Q72">
        <v>-9.1520000000002696E-2</v>
      </c>
      <c r="R72">
        <v>66.699240000000003</v>
      </c>
      <c r="S72">
        <v>-0.16375090908713899</v>
      </c>
      <c r="T72">
        <v>-0.34855999999999199</v>
      </c>
      <c r="U72" s="1">
        <v>45846</v>
      </c>
      <c r="V72">
        <v>227714600</v>
      </c>
      <c r="W72">
        <v>4</v>
      </c>
      <c r="X72">
        <v>9.6296970000000002</v>
      </c>
      <c r="Y72">
        <v>49.679506000000003</v>
      </c>
      <c r="Z72">
        <v>4.691E-2</v>
      </c>
      <c r="AA72">
        <v>483.14</v>
      </c>
      <c r="AB72">
        <v>1121.79</v>
      </c>
      <c r="AC72">
        <v>221.61</v>
      </c>
      <c r="AD72">
        <v>166.9</v>
      </c>
      <c r="AE72">
        <v>33760</v>
      </c>
      <c r="AF72">
        <v>3.746</v>
      </c>
      <c r="AG72">
        <v>9.6295415000000002</v>
      </c>
      <c r="AH72">
        <v>49.6794625</v>
      </c>
      <c r="AI72">
        <v>12</v>
      </c>
      <c r="AJ72">
        <v>0.49</v>
      </c>
      <c r="AK72">
        <v>169.1</v>
      </c>
      <c r="AL72">
        <v>227714600</v>
      </c>
      <c r="AM72">
        <v>4.7140000000000004</v>
      </c>
    </row>
    <row r="73" spans="1:39" x14ac:dyDescent="0.25">
      <c r="A73">
        <v>0.507560000000012</v>
      </c>
      <c r="B73">
        <v>275.22847999999999</v>
      </c>
      <c r="C73">
        <v>7.3599393936691099E-2</v>
      </c>
      <c r="D73">
        <v>0.18345999999996801</v>
      </c>
      <c r="E73" s="1">
        <v>45846</v>
      </c>
      <c r="F73">
        <v>227714800</v>
      </c>
      <c r="G73">
        <v>4</v>
      </c>
      <c r="H73">
        <v>9.6293716667000009</v>
      </c>
      <c r="I73">
        <v>49.679470333300003</v>
      </c>
      <c r="J73">
        <v>4.6420000000000003E-2</v>
      </c>
      <c r="K73">
        <v>112.48</v>
      </c>
      <c r="L73">
        <v>-1229.17</v>
      </c>
      <c r="M73">
        <v>109.83</v>
      </c>
      <c r="N73">
        <v>168</v>
      </c>
      <c r="O73">
        <v>33870</v>
      </c>
      <c r="P73">
        <v>4.8280000000000003</v>
      </c>
      <c r="Q73">
        <v>-0.22207000000000199</v>
      </c>
      <c r="R73">
        <v>66.568690000000004</v>
      </c>
      <c r="S73">
        <v>-0.212253030308452</v>
      </c>
      <c r="T73">
        <v>-0.130549999999999</v>
      </c>
      <c r="U73" s="1">
        <v>45846</v>
      </c>
      <c r="V73">
        <v>227714800</v>
      </c>
      <c r="W73">
        <v>4</v>
      </c>
      <c r="X73">
        <v>9.6296973332999993</v>
      </c>
      <c r="Y73">
        <v>49.679503833299997</v>
      </c>
      <c r="Z73">
        <v>4.6929999999999999E-2</v>
      </c>
      <c r="AA73">
        <v>485.52</v>
      </c>
      <c r="AB73">
        <v>1120.29</v>
      </c>
      <c r="AC73">
        <v>221.96</v>
      </c>
      <c r="AD73">
        <v>166.9</v>
      </c>
      <c r="AE73">
        <v>33760</v>
      </c>
      <c r="AF73">
        <v>3.6469999999999998</v>
      </c>
      <c r="AG73">
        <v>9.6295421667000003</v>
      </c>
      <c r="AH73">
        <v>49.679460166699997</v>
      </c>
      <c r="AI73">
        <v>12</v>
      </c>
      <c r="AJ73">
        <v>0.49</v>
      </c>
      <c r="AK73">
        <v>169.1</v>
      </c>
      <c r="AL73">
        <v>227714800</v>
      </c>
      <c r="AM73">
        <v>5.0030000000000001</v>
      </c>
    </row>
    <row r="74" spans="1:39" x14ac:dyDescent="0.25">
      <c r="A74">
        <v>0.37087999999999899</v>
      </c>
      <c r="B74">
        <v>275.09179999999998</v>
      </c>
      <c r="C74">
        <v>8.0760606064449195E-2</v>
      </c>
      <c r="D74">
        <v>-0.13668000000001199</v>
      </c>
      <c r="E74" s="1">
        <v>45846</v>
      </c>
      <c r="F74">
        <v>227715000</v>
      </c>
      <c r="G74">
        <v>4</v>
      </c>
      <c r="H74">
        <v>9.6293721666999996</v>
      </c>
      <c r="I74">
        <v>49.679467666699999</v>
      </c>
      <c r="J74">
        <v>4.641E-2</v>
      </c>
      <c r="K74">
        <v>109.57</v>
      </c>
      <c r="L74">
        <v>-1229.67</v>
      </c>
      <c r="M74">
        <v>106.42</v>
      </c>
      <c r="N74">
        <v>168</v>
      </c>
      <c r="O74">
        <v>33870</v>
      </c>
      <c r="P74">
        <v>5.4459999999999997</v>
      </c>
      <c r="Q74">
        <v>2.77799999999928E-2</v>
      </c>
      <c r="R74">
        <v>66.818539999999999</v>
      </c>
      <c r="S74">
        <v>-9.6211515140702003E-2</v>
      </c>
      <c r="T74">
        <v>0.24984999999999499</v>
      </c>
      <c r="U74" s="1">
        <v>45846</v>
      </c>
      <c r="V74">
        <v>227715000</v>
      </c>
      <c r="W74">
        <v>4</v>
      </c>
      <c r="X74">
        <v>9.6296979999999994</v>
      </c>
      <c r="Y74">
        <v>49.679501000000002</v>
      </c>
      <c r="Z74">
        <v>4.6989999999999997E-2</v>
      </c>
      <c r="AA74">
        <v>480.01</v>
      </c>
      <c r="AB74">
        <v>1120.94</v>
      </c>
      <c r="AC74">
        <v>218.85</v>
      </c>
      <c r="AD74">
        <v>166.9</v>
      </c>
      <c r="AE74">
        <v>33760</v>
      </c>
      <c r="AF74">
        <v>5.7389999999999999</v>
      </c>
      <c r="AG74">
        <v>9.6295426667000008</v>
      </c>
      <c r="AH74">
        <v>49.679457833299999</v>
      </c>
      <c r="AI74">
        <v>12</v>
      </c>
      <c r="AJ74">
        <v>0.49</v>
      </c>
      <c r="AK74">
        <v>169.1</v>
      </c>
      <c r="AL74">
        <v>227715000</v>
      </c>
      <c r="AM74">
        <v>4.5789999999999997</v>
      </c>
    </row>
    <row r="75" spans="1:39" x14ac:dyDescent="0.25">
      <c r="A75">
        <v>-0.104039999999997</v>
      </c>
      <c r="B75">
        <v>274.61687999999998</v>
      </c>
      <c r="C75">
        <v>-8.4444242425043503E-2</v>
      </c>
      <c r="D75">
        <v>-0.47491999999999701</v>
      </c>
      <c r="E75" s="1">
        <v>45846</v>
      </c>
      <c r="F75">
        <v>227715200</v>
      </c>
      <c r="G75">
        <v>4</v>
      </c>
      <c r="H75">
        <v>9.6293729999999993</v>
      </c>
      <c r="I75">
        <v>49.679464500000002</v>
      </c>
      <c r="J75">
        <v>4.6519999999999999E-2</v>
      </c>
      <c r="K75">
        <v>99.13</v>
      </c>
      <c r="L75">
        <v>-1227.54</v>
      </c>
      <c r="M75">
        <v>108.22</v>
      </c>
      <c r="N75">
        <v>168</v>
      </c>
      <c r="O75">
        <v>33870</v>
      </c>
      <c r="P75">
        <v>7.0289999999999999</v>
      </c>
      <c r="Q75">
        <v>0.35255999999999599</v>
      </c>
      <c r="R75">
        <v>67.143320000000003</v>
      </c>
      <c r="S75">
        <v>-8.90484848372502E-3</v>
      </c>
      <c r="T75">
        <v>0.32478000000000401</v>
      </c>
      <c r="U75" s="1">
        <v>45846</v>
      </c>
      <c r="V75">
        <v>227715200</v>
      </c>
      <c r="W75">
        <v>4</v>
      </c>
      <c r="X75">
        <v>9.6296986666999995</v>
      </c>
      <c r="Y75">
        <v>49.679498000000002</v>
      </c>
      <c r="Z75">
        <v>4.7039999999999998E-2</v>
      </c>
      <c r="AA75">
        <v>473.12</v>
      </c>
      <c r="AB75">
        <v>1122.4000000000001</v>
      </c>
      <c r="AC75">
        <v>221.9</v>
      </c>
      <c r="AD75">
        <v>166.9</v>
      </c>
      <c r="AE75">
        <v>33760</v>
      </c>
      <c r="AF75">
        <v>5.7110000000000003</v>
      </c>
      <c r="AG75">
        <v>9.629543</v>
      </c>
      <c r="AH75">
        <v>49.679455500000003</v>
      </c>
      <c r="AI75">
        <v>12</v>
      </c>
      <c r="AJ75">
        <v>0.49</v>
      </c>
      <c r="AK75">
        <v>169.1</v>
      </c>
      <c r="AL75">
        <v>227715200</v>
      </c>
      <c r="AM75">
        <v>4.5209999999999999</v>
      </c>
    </row>
    <row r="76" spans="1:39" x14ac:dyDescent="0.25">
      <c r="A76">
        <v>-0.21213999999997599</v>
      </c>
      <c r="B76">
        <v>274.50878</v>
      </c>
      <c r="C76">
        <v>-0.14974545453488999</v>
      </c>
      <c r="D76">
        <v>-0.10809999999997801</v>
      </c>
      <c r="E76" s="1">
        <v>45846</v>
      </c>
      <c r="F76">
        <v>227715400</v>
      </c>
      <c r="G76">
        <v>4</v>
      </c>
      <c r="H76">
        <v>9.6293736666999994</v>
      </c>
      <c r="I76">
        <v>49.679461833300003</v>
      </c>
      <c r="J76">
        <v>4.6580000000000003E-2</v>
      </c>
      <c r="K76">
        <v>96.69</v>
      </c>
      <c r="L76">
        <v>-1226.21</v>
      </c>
      <c r="M76">
        <v>105.93</v>
      </c>
      <c r="N76">
        <v>168</v>
      </c>
      <c r="O76">
        <v>33870</v>
      </c>
      <c r="P76">
        <v>3.7829999999999999</v>
      </c>
      <c r="Q76">
        <v>-0.12924999999999801</v>
      </c>
      <c r="R76">
        <v>66.661510000000007</v>
      </c>
      <c r="S76">
        <v>-6.9098484867927606E-2</v>
      </c>
      <c r="T76">
        <v>-0.48180999999999502</v>
      </c>
      <c r="U76" s="1">
        <v>45846</v>
      </c>
      <c r="V76">
        <v>227715400</v>
      </c>
      <c r="W76">
        <v>4</v>
      </c>
      <c r="X76">
        <v>9.6296990000000005</v>
      </c>
      <c r="Y76">
        <v>49.679496666699997</v>
      </c>
      <c r="Z76">
        <v>4.691E-2</v>
      </c>
      <c r="AA76">
        <v>483.87</v>
      </c>
      <c r="AB76">
        <v>1121.47</v>
      </c>
      <c r="AC76">
        <v>218.09</v>
      </c>
      <c r="AD76">
        <v>166.9</v>
      </c>
      <c r="AE76">
        <v>33760</v>
      </c>
      <c r="AF76">
        <v>3.5710000000000002</v>
      </c>
      <c r="AG76">
        <v>9.6295435000000005</v>
      </c>
      <c r="AH76">
        <v>49.6794531667</v>
      </c>
      <c r="AI76">
        <v>12</v>
      </c>
      <c r="AJ76">
        <v>0.49</v>
      </c>
      <c r="AK76">
        <v>169.1</v>
      </c>
      <c r="AL76">
        <v>227715400</v>
      </c>
      <c r="AM76">
        <v>4.7690000000000001</v>
      </c>
    </row>
    <row r="77" spans="1:39" x14ac:dyDescent="0.25">
      <c r="A77">
        <v>-0.102899999999976</v>
      </c>
      <c r="B77">
        <v>274.61802</v>
      </c>
      <c r="C77">
        <v>-8.1124242427360799E-2</v>
      </c>
      <c r="D77">
        <v>0.109239999999999</v>
      </c>
      <c r="E77" s="1">
        <v>45846</v>
      </c>
      <c r="F77">
        <v>227715600</v>
      </c>
      <c r="G77">
        <v>4</v>
      </c>
      <c r="H77">
        <v>9.6293740000000003</v>
      </c>
      <c r="I77">
        <v>49.679459833300001</v>
      </c>
      <c r="J77">
        <v>4.6539999999999998E-2</v>
      </c>
      <c r="K77">
        <v>99.11</v>
      </c>
      <c r="L77">
        <v>-1227.04</v>
      </c>
      <c r="M77">
        <v>110.01</v>
      </c>
      <c r="N77">
        <v>168</v>
      </c>
      <c r="O77">
        <v>33870</v>
      </c>
      <c r="P77">
        <v>4.7969999999999997</v>
      </c>
      <c r="Q77">
        <v>2.9649999999989501E-2</v>
      </c>
      <c r="R77">
        <v>66.820409999999995</v>
      </c>
      <c r="S77">
        <v>-0.14310424242365799</v>
      </c>
      <c r="T77">
        <v>0.158899999999988</v>
      </c>
      <c r="U77" s="1">
        <v>45846</v>
      </c>
      <c r="V77">
        <v>227715600</v>
      </c>
      <c r="W77">
        <v>4</v>
      </c>
      <c r="X77">
        <v>9.6296993332999996</v>
      </c>
      <c r="Y77">
        <v>49.679493999999998</v>
      </c>
      <c r="Z77">
        <v>4.6960000000000002E-2</v>
      </c>
      <c r="AA77">
        <v>480.21</v>
      </c>
      <c r="AB77">
        <v>1121.51</v>
      </c>
      <c r="AC77">
        <v>219.96</v>
      </c>
      <c r="AD77">
        <v>166.9</v>
      </c>
      <c r="AE77">
        <v>33760</v>
      </c>
      <c r="AF77">
        <v>6.1520000000000001</v>
      </c>
      <c r="AG77">
        <v>9.6295438332999996</v>
      </c>
      <c r="AH77">
        <v>49.679450833300002</v>
      </c>
      <c r="AI77">
        <v>12</v>
      </c>
      <c r="AJ77">
        <v>0.49</v>
      </c>
      <c r="AK77">
        <v>169.1</v>
      </c>
      <c r="AL77">
        <v>227715600</v>
      </c>
      <c r="AM77">
        <v>4.681</v>
      </c>
    </row>
    <row r="78" spans="1:39" x14ac:dyDescent="0.25">
      <c r="A78">
        <v>-8.5119999999960699E-2</v>
      </c>
      <c r="B78">
        <v>274.63580000000002</v>
      </c>
      <c r="C78">
        <v>-5.4901818168139001E-2</v>
      </c>
      <c r="D78">
        <v>1.7780000000016099E-2</v>
      </c>
      <c r="E78" s="1">
        <v>45846</v>
      </c>
      <c r="F78">
        <v>227715800</v>
      </c>
      <c r="G78">
        <v>4</v>
      </c>
      <c r="H78">
        <v>9.6293743332999995</v>
      </c>
      <c r="I78">
        <v>49.6794573333</v>
      </c>
      <c r="J78">
        <v>4.6510000000000003E-2</v>
      </c>
      <c r="K78">
        <v>99.57</v>
      </c>
      <c r="L78">
        <v>-1227.9000000000001</v>
      </c>
      <c r="M78">
        <v>109.35</v>
      </c>
      <c r="N78">
        <v>168</v>
      </c>
      <c r="O78">
        <v>33870</v>
      </c>
      <c r="P78">
        <v>4.8689999999999998</v>
      </c>
      <c r="Q78">
        <v>-0.61218000000000905</v>
      </c>
      <c r="R78">
        <v>66.178579999999997</v>
      </c>
      <c r="S78">
        <v>-0.34763909088268502</v>
      </c>
      <c r="T78">
        <v>-0.64182999999999801</v>
      </c>
      <c r="U78" s="1">
        <v>45846</v>
      </c>
      <c r="V78">
        <v>227715800</v>
      </c>
      <c r="W78">
        <v>4</v>
      </c>
      <c r="X78">
        <v>9.6296994999999992</v>
      </c>
      <c r="Y78">
        <v>49.679492833300003</v>
      </c>
      <c r="Z78">
        <v>4.684E-2</v>
      </c>
      <c r="AA78">
        <v>494.04</v>
      </c>
      <c r="AB78">
        <v>1118.99</v>
      </c>
      <c r="AC78">
        <v>214.6</v>
      </c>
      <c r="AD78">
        <v>167</v>
      </c>
      <c r="AE78">
        <v>33770</v>
      </c>
      <c r="AF78">
        <v>1.9410000000000001</v>
      </c>
      <c r="AG78">
        <v>9.6295443333000001</v>
      </c>
      <c r="AH78">
        <v>49.679448333300002</v>
      </c>
      <c r="AI78">
        <v>12</v>
      </c>
      <c r="AJ78">
        <v>0.49</v>
      </c>
      <c r="AK78">
        <v>169.1</v>
      </c>
      <c r="AL78">
        <v>227715800</v>
      </c>
      <c r="AM78">
        <v>5.1239999999999997</v>
      </c>
    </row>
    <row r="79" spans="1:39" x14ac:dyDescent="0.25">
      <c r="A79">
        <v>-0.30965999999995097</v>
      </c>
      <c r="B79">
        <v>274.41126000000003</v>
      </c>
      <c r="C79">
        <v>-0.205752121207433</v>
      </c>
      <c r="D79">
        <v>-0.22453999999999</v>
      </c>
      <c r="E79" s="1">
        <v>45846</v>
      </c>
      <c r="F79">
        <v>227716000</v>
      </c>
      <c r="G79">
        <v>4</v>
      </c>
      <c r="H79">
        <v>9.6293749999999996</v>
      </c>
      <c r="I79">
        <v>49.679454666700003</v>
      </c>
      <c r="J79">
        <v>4.657E-2</v>
      </c>
      <c r="K79">
        <v>94.62</v>
      </c>
      <c r="L79">
        <v>-1226.5999999999999</v>
      </c>
      <c r="M79">
        <v>111.68</v>
      </c>
      <c r="N79">
        <v>168</v>
      </c>
      <c r="O79">
        <v>33870</v>
      </c>
      <c r="P79">
        <v>5.6849999999999996</v>
      </c>
      <c r="Q79">
        <v>-0.73090000000000499</v>
      </c>
      <c r="R79">
        <v>66.05986</v>
      </c>
      <c r="S79">
        <v>-0.47162090908506299</v>
      </c>
      <c r="T79">
        <v>-0.118719999999996</v>
      </c>
      <c r="U79" s="1">
        <v>45846</v>
      </c>
      <c r="V79">
        <v>227716000</v>
      </c>
      <c r="W79">
        <v>4</v>
      </c>
      <c r="X79">
        <v>9.6296999999999997</v>
      </c>
      <c r="Y79">
        <v>49.679490666699998</v>
      </c>
      <c r="Z79">
        <v>4.6780000000000002E-2</v>
      </c>
      <c r="AA79">
        <v>497.05</v>
      </c>
      <c r="AB79">
        <v>1119.54</v>
      </c>
      <c r="AC79">
        <v>212.29</v>
      </c>
      <c r="AD79">
        <v>167</v>
      </c>
      <c r="AE79">
        <v>33770</v>
      </c>
      <c r="AF79">
        <v>5.2110000000000003</v>
      </c>
      <c r="AG79">
        <v>9.6295448333000007</v>
      </c>
      <c r="AH79">
        <v>49.679445999999999</v>
      </c>
      <c r="AI79">
        <v>12</v>
      </c>
      <c r="AJ79">
        <v>0.49</v>
      </c>
      <c r="AK79">
        <v>169.1</v>
      </c>
      <c r="AL79">
        <v>227716000</v>
      </c>
      <c r="AM79">
        <v>4.6559999999999997</v>
      </c>
    </row>
    <row r="80" spans="1:39" x14ac:dyDescent="0.25">
      <c r="A80">
        <v>-0.57699999999999796</v>
      </c>
      <c r="B80">
        <v>274.14391999999998</v>
      </c>
      <c r="C80">
        <v>-0.437555151404526</v>
      </c>
      <c r="D80">
        <v>-0.26734000000004698</v>
      </c>
      <c r="E80" s="1">
        <v>45846</v>
      </c>
      <c r="F80">
        <v>227716200</v>
      </c>
      <c r="G80">
        <v>4</v>
      </c>
      <c r="H80">
        <v>9.6293755000000001</v>
      </c>
      <c r="I80">
        <v>49.679451666699997</v>
      </c>
      <c r="J80">
        <v>4.6670000000000003E-2</v>
      </c>
      <c r="K80">
        <v>88.72</v>
      </c>
      <c r="L80">
        <v>-1224.53</v>
      </c>
      <c r="M80">
        <v>115.06</v>
      </c>
      <c r="N80">
        <v>168</v>
      </c>
      <c r="O80">
        <v>33870</v>
      </c>
      <c r="P80">
        <v>5.0960000000000001</v>
      </c>
      <c r="Q80">
        <v>-0.60965000000000202</v>
      </c>
      <c r="R80">
        <v>66.181110000000004</v>
      </c>
      <c r="S80">
        <v>-0.44553393933046698</v>
      </c>
      <c r="T80">
        <v>0.12125000000000299</v>
      </c>
      <c r="U80" s="1">
        <v>45846</v>
      </c>
      <c r="V80">
        <v>227716200</v>
      </c>
      <c r="W80">
        <v>4</v>
      </c>
      <c r="X80">
        <v>9.6297005000000002</v>
      </c>
      <c r="Y80">
        <v>49.679488166699997</v>
      </c>
      <c r="Z80">
        <v>4.6739999999999997E-2</v>
      </c>
      <c r="AA80">
        <v>495.01</v>
      </c>
      <c r="AB80">
        <v>1121.33</v>
      </c>
      <c r="AC80">
        <v>209.11</v>
      </c>
      <c r="AD80">
        <v>167</v>
      </c>
      <c r="AE80">
        <v>33770</v>
      </c>
      <c r="AF80">
        <v>5.5970000000000004</v>
      </c>
      <c r="AG80">
        <v>9.6295451666999998</v>
      </c>
      <c r="AH80">
        <v>49.679443499999998</v>
      </c>
      <c r="AI80">
        <v>12</v>
      </c>
      <c r="AJ80">
        <v>0.49</v>
      </c>
      <c r="AK80">
        <v>169.1</v>
      </c>
      <c r="AL80">
        <v>227716200</v>
      </c>
      <c r="AM80">
        <v>4.8259999999999996</v>
      </c>
    </row>
    <row r="81" spans="1:39" x14ac:dyDescent="0.25">
      <c r="A81">
        <v>-0.80047999999999297</v>
      </c>
      <c r="B81">
        <v>273.92043999999999</v>
      </c>
      <c r="C81">
        <v>-0.63484363624556395</v>
      </c>
      <c r="D81">
        <v>-0.22347999999999499</v>
      </c>
      <c r="E81" s="1">
        <v>45846</v>
      </c>
      <c r="F81">
        <v>227716400</v>
      </c>
      <c r="G81">
        <v>4</v>
      </c>
      <c r="H81">
        <v>9.6293761667000002</v>
      </c>
      <c r="I81">
        <v>49.6794488333</v>
      </c>
      <c r="J81">
        <v>4.6699999999999998E-2</v>
      </c>
      <c r="K81">
        <v>83.88</v>
      </c>
      <c r="L81">
        <v>-1223.94</v>
      </c>
      <c r="M81">
        <v>119.09</v>
      </c>
      <c r="N81">
        <v>167.9</v>
      </c>
      <c r="O81">
        <v>33860</v>
      </c>
      <c r="P81">
        <v>7.234</v>
      </c>
      <c r="Q81">
        <v>-0.67294000000001097</v>
      </c>
      <c r="R81">
        <v>66.117819999999995</v>
      </c>
      <c r="S81">
        <v>-0.43862303020119298</v>
      </c>
      <c r="T81">
        <v>-6.3290000000009103E-2</v>
      </c>
      <c r="U81" s="1">
        <v>45846</v>
      </c>
      <c r="V81">
        <v>227716400</v>
      </c>
      <c r="W81">
        <v>4</v>
      </c>
      <c r="X81">
        <v>9.6297010000000007</v>
      </c>
      <c r="Y81">
        <v>49.679485999999997</v>
      </c>
      <c r="Z81">
        <v>4.6730000000000001E-2</v>
      </c>
      <c r="AA81">
        <v>496.35</v>
      </c>
      <c r="AB81">
        <v>1121.01</v>
      </c>
      <c r="AC81">
        <v>202.91</v>
      </c>
      <c r="AD81">
        <v>167.1</v>
      </c>
      <c r="AE81">
        <v>33779.999999999898</v>
      </c>
      <c r="AF81">
        <v>3.4750000000000001</v>
      </c>
      <c r="AG81">
        <v>9.6295456667000003</v>
      </c>
      <c r="AH81">
        <v>49.679441333299998</v>
      </c>
      <c r="AI81">
        <v>12</v>
      </c>
      <c r="AJ81">
        <v>0.49</v>
      </c>
      <c r="AK81">
        <v>169.1</v>
      </c>
      <c r="AL81">
        <v>227716400</v>
      </c>
      <c r="AM81">
        <v>4.45</v>
      </c>
    </row>
    <row r="82" spans="1:39" x14ac:dyDescent="0.25">
      <c r="A82">
        <v>-1.05338</v>
      </c>
      <c r="B82">
        <v>273.66753999999997</v>
      </c>
      <c r="C82">
        <v>-0.75416848483864596</v>
      </c>
      <c r="D82">
        <v>-0.252900000000011</v>
      </c>
      <c r="E82" s="1">
        <v>45846</v>
      </c>
      <c r="F82">
        <v>227716600</v>
      </c>
      <c r="G82">
        <v>4</v>
      </c>
      <c r="H82">
        <v>9.6293769999999999</v>
      </c>
      <c r="I82">
        <v>49.679446166699996</v>
      </c>
      <c r="J82">
        <v>4.6780000000000002E-2</v>
      </c>
      <c r="K82">
        <v>78.349999999999994</v>
      </c>
      <c r="L82">
        <v>-1222.4100000000001</v>
      </c>
      <c r="M82">
        <v>124.86</v>
      </c>
      <c r="N82">
        <v>167.9</v>
      </c>
      <c r="O82">
        <v>33860</v>
      </c>
      <c r="P82">
        <v>4.5720000000000001</v>
      </c>
      <c r="Q82">
        <v>-0.32046999999999998</v>
      </c>
      <c r="R82">
        <v>66.470290000000006</v>
      </c>
      <c r="S82">
        <v>-0.39540818180318199</v>
      </c>
      <c r="T82">
        <v>0.35247000000001</v>
      </c>
      <c r="U82" s="1">
        <v>45846</v>
      </c>
      <c r="V82">
        <v>227716600</v>
      </c>
      <c r="W82">
        <v>4</v>
      </c>
      <c r="X82">
        <v>9.629702</v>
      </c>
      <c r="Y82">
        <v>49.679483166700003</v>
      </c>
      <c r="Z82">
        <v>4.6800000000000001E-2</v>
      </c>
      <c r="AA82">
        <v>488.8</v>
      </c>
      <c r="AB82">
        <v>1122.56</v>
      </c>
      <c r="AC82">
        <v>201.46</v>
      </c>
      <c r="AD82">
        <v>167.1</v>
      </c>
      <c r="AE82">
        <v>33779.999999999898</v>
      </c>
      <c r="AF82">
        <v>6.4260000000000002</v>
      </c>
      <c r="AG82">
        <v>9.6295463333000004</v>
      </c>
      <c r="AH82">
        <v>49.6794391667</v>
      </c>
      <c r="AI82">
        <v>12</v>
      </c>
      <c r="AJ82">
        <v>0.49</v>
      </c>
      <c r="AK82">
        <v>169.1</v>
      </c>
      <c r="AL82">
        <v>227716600</v>
      </c>
      <c r="AM82">
        <v>4.3529999999999998</v>
      </c>
    </row>
    <row r="83" spans="1:39" x14ac:dyDescent="0.25">
      <c r="A83">
        <v>-0.59117999999995097</v>
      </c>
      <c r="B83">
        <v>274.12974000000003</v>
      </c>
      <c r="C83">
        <v>-0.60280181812977796</v>
      </c>
      <c r="D83">
        <v>0.46220000000005201</v>
      </c>
      <c r="E83" s="1">
        <v>45846</v>
      </c>
      <c r="F83">
        <v>227716800</v>
      </c>
      <c r="G83">
        <v>4</v>
      </c>
      <c r="H83">
        <v>9.6293775000000004</v>
      </c>
      <c r="I83">
        <v>49.679445000000001</v>
      </c>
      <c r="J83">
        <v>4.6670000000000003E-2</v>
      </c>
      <c r="K83">
        <v>88.41</v>
      </c>
      <c r="L83">
        <v>-1224.44</v>
      </c>
      <c r="M83">
        <v>127.63</v>
      </c>
      <c r="N83">
        <v>167.8</v>
      </c>
      <c r="O83">
        <v>33850</v>
      </c>
      <c r="P83">
        <v>2.7010000000000001</v>
      </c>
      <c r="Q83">
        <v>-0.47316000000000702</v>
      </c>
      <c r="R83">
        <v>66.317599999999999</v>
      </c>
      <c r="S83">
        <v>-0.42347696963258802</v>
      </c>
      <c r="T83">
        <v>-0.15269000000000599</v>
      </c>
      <c r="U83" s="1">
        <v>45846</v>
      </c>
      <c r="V83">
        <v>227716800</v>
      </c>
      <c r="W83">
        <v>4</v>
      </c>
      <c r="X83">
        <v>9.6297026667000001</v>
      </c>
      <c r="Y83">
        <v>49.679481333299996</v>
      </c>
      <c r="Z83">
        <v>4.6769999999999999E-2</v>
      </c>
      <c r="AA83">
        <v>492.11</v>
      </c>
      <c r="AB83">
        <v>1122</v>
      </c>
      <c r="AC83">
        <v>195.62</v>
      </c>
      <c r="AD83">
        <v>167.2</v>
      </c>
      <c r="AE83">
        <v>33790</v>
      </c>
      <c r="AF83">
        <v>2.2650000000000001</v>
      </c>
      <c r="AG83">
        <v>9.6295471667000001</v>
      </c>
      <c r="AH83">
        <v>49.679437</v>
      </c>
      <c r="AI83">
        <v>12</v>
      </c>
      <c r="AJ83">
        <v>0.49</v>
      </c>
      <c r="AK83">
        <v>169.1</v>
      </c>
      <c r="AL83">
        <v>227716800</v>
      </c>
      <c r="AM83">
        <v>4.2880000000000003</v>
      </c>
    </row>
    <row r="84" spans="1:39" x14ac:dyDescent="0.25">
      <c r="A84">
        <v>0.451099999999996</v>
      </c>
      <c r="B84">
        <v>275.17201999999997</v>
      </c>
      <c r="C84">
        <v>0.63448303033145503</v>
      </c>
      <c r="D84">
        <v>0.44901999999996101</v>
      </c>
      <c r="E84" s="1">
        <v>45846</v>
      </c>
      <c r="F84">
        <v>227718200</v>
      </c>
      <c r="G84">
        <v>4</v>
      </c>
      <c r="H84">
        <v>9.6293801667000007</v>
      </c>
      <c r="I84">
        <v>49.679435499999997</v>
      </c>
      <c r="J84">
        <v>4.6469999999999997E-2</v>
      </c>
      <c r="K84">
        <v>111.14</v>
      </c>
      <c r="L84">
        <v>-1227.8499999999999</v>
      </c>
      <c r="M84">
        <v>142.41</v>
      </c>
      <c r="N84">
        <v>167.7</v>
      </c>
      <c r="O84">
        <v>33840</v>
      </c>
      <c r="P84">
        <v>0.92600000000000005</v>
      </c>
      <c r="Q84">
        <v>0.19574999999998899</v>
      </c>
      <c r="R84">
        <v>66.986509999999996</v>
      </c>
      <c r="S84">
        <v>0.49093757577371</v>
      </c>
      <c r="T84">
        <v>0.144149999999996</v>
      </c>
      <c r="U84" s="1">
        <v>45846</v>
      </c>
      <c r="V84">
        <v>227718200</v>
      </c>
      <c r="W84">
        <v>4</v>
      </c>
      <c r="X84">
        <v>9.6297063332999997</v>
      </c>
      <c r="Y84">
        <v>49.679468499999999</v>
      </c>
      <c r="Z84">
        <v>4.6870000000000002E-2</v>
      </c>
      <c r="AA84">
        <v>477.95</v>
      </c>
      <c r="AB84">
        <v>1125.25</v>
      </c>
      <c r="AC84">
        <v>175.98</v>
      </c>
      <c r="AD84">
        <v>167.4</v>
      </c>
      <c r="AE84">
        <v>33810</v>
      </c>
      <c r="AF84">
        <v>3.2330000000000001</v>
      </c>
      <c r="AG84">
        <v>9.6295503332999992</v>
      </c>
      <c r="AH84">
        <v>49.679425500000001</v>
      </c>
      <c r="AI84">
        <v>12</v>
      </c>
      <c r="AJ84">
        <v>0.49</v>
      </c>
      <c r="AK84">
        <v>169.1</v>
      </c>
      <c r="AL84">
        <v>227718200</v>
      </c>
      <c r="AM84">
        <v>2.375</v>
      </c>
    </row>
    <row r="85" spans="1:39" x14ac:dyDescent="0.25">
      <c r="A85">
        <v>-0.64473999999995601</v>
      </c>
      <c r="B85">
        <v>274.07618000000002</v>
      </c>
      <c r="C85">
        <v>3.1641139746982599E-2</v>
      </c>
      <c r="D85">
        <v>-0.81842000000000303</v>
      </c>
      <c r="E85" s="1">
        <v>45846</v>
      </c>
      <c r="F85">
        <v>227720200</v>
      </c>
      <c r="G85">
        <v>4</v>
      </c>
      <c r="H85">
        <v>9.6293819999999997</v>
      </c>
      <c r="I85">
        <v>49.679425333300003</v>
      </c>
      <c r="J85">
        <v>4.6649999999999997E-2</v>
      </c>
      <c r="K85">
        <v>87.31</v>
      </c>
      <c r="L85">
        <v>-1225.21</v>
      </c>
      <c r="M85">
        <v>125.34</v>
      </c>
      <c r="N85">
        <v>167.8</v>
      </c>
      <c r="O85">
        <v>33840</v>
      </c>
      <c r="P85">
        <v>0.68400000000000005</v>
      </c>
      <c r="Q85">
        <v>-0.64742999999999995</v>
      </c>
      <c r="R85">
        <v>66.143330000000006</v>
      </c>
      <c r="S85">
        <v>-3.4172210216357902E-3</v>
      </c>
      <c r="T85">
        <v>-0.69910999999999002</v>
      </c>
      <c r="U85" s="1">
        <v>45846</v>
      </c>
      <c r="V85">
        <v>227720200</v>
      </c>
      <c r="W85">
        <v>4</v>
      </c>
      <c r="X85">
        <v>9.6297068333000002</v>
      </c>
      <c r="Y85">
        <v>49.679462000000001</v>
      </c>
      <c r="Z85">
        <v>4.6760000000000003E-2</v>
      </c>
      <c r="AA85">
        <v>495.59</v>
      </c>
      <c r="AB85">
        <v>1120.6500000000001</v>
      </c>
      <c r="AC85">
        <v>189.3</v>
      </c>
      <c r="AD85">
        <v>167.1</v>
      </c>
      <c r="AE85">
        <v>33770</v>
      </c>
      <c r="AF85">
        <v>0.68100000000000005</v>
      </c>
      <c r="AG85">
        <v>9.6295514999999998</v>
      </c>
      <c r="AH85">
        <v>49.6794175</v>
      </c>
      <c r="AI85">
        <v>12</v>
      </c>
      <c r="AJ85">
        <v>0.49</v>
      </c>
      <c r="AK85">
        <v>169</v>
      </c>
      <c r="AL85">
        <v>227720200</v>
      </c>
      <c r="AM85">
        <v>1.179</v>
      </c>
    </row>
    <row r="86" spans="1:39" x14ac:dyDescent="0.25">
      <c r="A86">
        <v>-0.61703999999997405</v>
      </c>
      <c r="B86">
        <v>274.10388</v>
      </c>
      <c r="C86">
        <v>-0.109891984571269</v>
      </c>
      <c r="D86">
        <v>2.76999999999816E-2</v>
      </c>
      <c r="E86" s="1">
        <v>45846</v>
      </c>
      <c r="F86">
        <v>227720400</v>
      </c>
      <c r="G86">
        <v>4</v>
      </c>
      <c r="H86">
        <v>9.6293821666999992</v>
      </c>
      <c r="I86">
        <v>49.679424833299997</v>
      </c>
      <c r="J86">
        <v>4.6640000000000001E-2</v>
      </c>
      <c r="K86">
        <v>87.91</v>
      </c>
      <c r="L86">
        <v>-1225.3</v>
      </c>
      <c r="M86">
        <v>124.21</v>
      </c>
      <c r="N86">
        <v>167.8</v>
      </c>
      <c r="O86">
        <v>33840</v>
      </c>
      <c r="P86">
        <v>0.97099999999999997</v>
      </c>
      <c r="Q86">
        <v>-0.96292000000001099</v>
      </c>
      <c r="R86">
        <v>65.827839999999995</v>
      </c>
      <c r="S86">
        <v>-0.199043463358555</v>
      </c>
      <c r="T86">
        <v>-0.31549000000001098</v>
      </c>
      <c r="U86" s="1">
        <v>45846</v>
      </c>
      <c r="V86">
        <v>227720400</v>
      </c>
      <c r="W86">
        <v>4</v>
      </c>
      <c r="X86">
        <v>9.6297069999999998</v>
      </c>
      <c r="Y86">
        <v>49.679462166699999</v>
      </c>
      <c r="Z86">
        <v>4.6679999999999999E-2</v>
      </c>
      <c r="AA86">
        <v>502.64</v>
      </c>
      <c r="AB86">
        <v>1119.8800000000001</v>
      </c>
      <c r="AC86">
        <v>189.78</v>
      </c>
      <c r="AD86">
        <v>167.1</v>
      </c>
      <c r="AE86">
        <v>33770</v>
      </c>
      <c r="AF86">
        <v>0.109</v>
      </c>
      <c r="AG86">
        <v>9.6295516666999994</v>
      </c>
      <c r="AH86">
        <v>49.679416833300003</v>
      </c>
      <c r="AI86">
        <v>12</v>
      </c>
      <c r="AJ86">
        <v>0.49</v>
      </c>
      <c r="AK86">
        <v>169</v>
      </c>
      <c r="AL86">
        <v>227720400</v>
      </c>
      <c r="AM86">
        <v>1.0049999999999999</v>
      </c>
    </row>
    <row r="87" spans="1:39" x14ac:dyDescent="0.25">
      <c r="A87">
        <v>-0.45247999999998001</v>
      </c>
      <c r="B87">
        <v>274.26844</v>
      </c>
      <c r="C87">
        <v>-0.147287051365424</v>
      </c>
      <c r="D87">
        <v>0.16455999999999399</v>
      </c>
      <c r="E87" s="1">
        <v>45846</v>
      </c>
      <c r="F87">
        <v>227720600</v>
      </c>
      <c r="G87">
        <v>4</v>
      </c>
      <c r="H87">
        <v>9.6293819999999997</v>
      </c>
      <c r="I87">
        <v>49.679424666700001</v>
      </c>
      <c r="J87">
        <v>4.6620000000000002E-2</v>
      </c>
      <c r="K87">
        <v>91.47</v>
      </c>
      <c r="L87">
        <v>-1225.54</v>
      </c>
      <c r="M87">
        <v>122.65</v>
      </c>
      <c r="N87">
        <v>167.8</v>
      </c>
      <c r="O87">
        <v>33840</v>
      </c>
      <c r="P87">
        <v>0.111</v>
      </c>
      <c r="Q87">
        <v>-0.68988000000000205</v>
      </c>
      <c r="R87">
        <v>66.100880000000004</v>
      </c>
      <c r="S87">
        <v>-0.28345209668903598</v>
      </c>
      <c r="T87">
        <v>0.273040000000008</v>
      </c>
      <c r="U87" s="1">
        <v>45846</v>
      </c>
      <c r="V87">
        <v>227720600</v>
      </c>
      <c r="W87">
        <v>4</v>
      </c>
      <c r="X87">
        <v>9.6297071666999994</v>
      </c>
      <c r="Y87">
        <v>49.679461166700001</v>
      </c>
      <c r="Z87">
        <v>4.6730000000000001E-2</v>
      </c>
      <c r="AA87">
        <v>496.71</v>
      </c>
      <c r="AB87">
        <v>1120.94</v>
      </c>
      <c r="AC87">
        <v>190.41</v>
      </c>
      <c r="AD87">
        <v>167.1</v>
      </c>
      <c r="AE87">
        <v>33770</v>
      </c>
      <c r="AF87">
        <v>2.0819999999999999</v>
      </c>
      <c r="AG87">
        <v>9.6295516666999994</v>
      </c>
      <c r="AH87">
        <v>49.679416333299997</v>
      </c>
      <c r="AI87">
        <v>12</v>
      </c>
      <c r="AJ87">
        <v>0.49</v>
      </c>
      <c r="AK87">
        <v>169</v>
      </c>
      <c r="AL87">
        <v>227720600</v>
      </c>
      <c r="AM87">
        <v>0.92600000000000005</v>
      </c>
    </row>
    <row r="88" spans="1:39" x14ac:dyDescent="0.25">
      <c r="A88">
        <v>-0.27245999999996601</v>
      </c>
      <c r="B88">
        <v>274.44846000000001</v>
      </c>
      <c r="C88">
        <v>-0.17389664623610199</v>
      </c>
      <c r="D88">
        <v>0.180020000000013</v>
      </c>
      <c r="E88" s="1">
        <v>45846</v>
      </c>
      <c r="F88">
        <v>227720800</v>
      </c>
      <c r="G88">
        <v>4</v>
      </c>
      <c r="H88">
        <v>9.6293819999999997</v>
      </c>
      <c r="I88">
        <v>49.679424500000003</v>
      </c>
      <c r="J88">
        <v>4.6589999999999999E-2</v>
      </c>
      <c r="K88">
        <v>95.39</v>
      </c>
      <c r="L88">
        <v>-1226.0899999999999</v>
      </c>
      <c r="M88">
        <v>121.89</v>
      </c>
      <c r="N88">
        <v>167.8</v>
      </c>
      <c r="O88">
        <v>33840</v>
      </c>
      <c r="P88">
        <v>0.315</v>
      </c>
      <c r="Q88">
        <v>-0.27596000000001197</v>
      </c>
      <c r="R88">
        <v>66.514799999999994</v>
      </c>
      <c r="S88">
        <v>-0.28578038013926899</v>
      </c>
      <c r="T88">
        <v>0.41391999999999002</v>
      </c>
      <c r="U88" s="1">
        <v>45846</v>
      </c>
      <c r="V88">
        <v>227720800</v>
      </c>
      <c r="W88">
        <v>4</v>
      </c>
      <c r="X88">
        <v>9.6297073333000007</v>
      </c>
      <c r="Y88">
        <v>49.679459833300001</v>
      </c>
      <c r="Z88">
        <v>4.6809999999999997E-2</v>
      </c>
      <c r="AA88">
        <v>487.83</v>
      </c>
      <c r="AB88">
        <v>1122.73</v>
      </c>
      <c r="AC88">
        <v>191.57</v>
      </c>
      <c r="AD88">
        <v>167.1</v>
      </c>
      <c r="AE88">
        <v>33770</v>
      </c>
      <c r="AF88">
        <v>2.8340000000000001</v>
      </c>
      <c r="AG88">
        <v>9.6295518333000008</v>
      </c>
      <c r="AH88">
        <v>49.679415833299998</v>
      </c>
      <c r="AI88">
        <v>12</v>
      </c>
      <c r="AJ88">
        <v>0.49</v>
      </c>
      <c r="AK88">
        <v>169</v>
      </c>
      <c r="AL88">
        <v>227720800</v>
      </c>
      <c r="AM88">
        <v>0.872</v>
      </c>
    </row>
    <row r="89" spans="1:39" x14ac:dyDescent="0.25">
      <c r="A89">
        <v>-0.186339999999972</v>
      </c>
      <c r="B89">
        <v>274.53458000000001</v>
      </c>
      <c r="C89">
        <v>-0.204610440060497</v>
      </c>
      <c r="D89">
        <v>8.6119999999993896E-2</v>
      </c>
      <c r="E89" s="1">
        <v>45846</v>
      </c>
      <c r="F89">
        <v>227721000</v>
      </c>
      <c r="G89">
        <v>4</v>
      </c>
      <c r="H89">
        <v>9.6293819999999997</v>
      </c>
      <c r="I89">
        <v>49.679424166700002</v>
      </c>
      <c r="J89">
        <v>4.6589999999999999E-2</v>
      </c>
      <c r="K89">
        <v>97.23</v>
      </c>
      <c r="L89">
        <v>-1225.95</v>
      </c>
      <c r="M89">
        <v>121.56</v>
      </c>
      <c r="N89">
        <v>167.8</v>
      </c>
      <c r="O89">
        <v>33840</v>
      </c>
      <c r="P89">
        <v>0.34</v>
      </c>
      <c r="Q89">
        <v>-0.20525000000000601</v>
      </c>
      <c r="R89">
        <v>66.585509999999999</v>
      </c>
      <c r="S89">
        <v>-0.27291488878668302</v>
      </c>
      <c r="T89">
        <v>7.0710000000005296E-2</v>
      </c>
      <c r="U89" s="1">
        <v>45846</v>
      </c>
      <c r="V89">
        <v>227721000</v>
      </c>
      <c r="W89">
        <v>4</v>
      </c>
      <c r="X89">
        <v>9.6297075000000003</v>
      </c>
      <c r="Y89">
        <v>49.679459166699999</v>
      </c>
      <c r="Z89">
        <v>4.6809999999999997E-2</v>
      </c>
      <c r="AA89">
        <v>486.42</v>
      </c>
      <c r="AB89">
        <v>1123.27</v>
      </c>
      <c r="AC89">
        <v>192.17</v>
      </c>
      <c r="AD89">
        <v>167.1</v>
      </c>
      <c r="AE89">
        <v>33770</v>
      </c>
      <c r="AF89">
        <v>1.514</v>
      </c>
      <c r="AG89">
        <v>9.6295518333000008</v>
      </c>
      <c r="AH89">
        <v>49.679415499999998</v>
      </c>
      <c r="AI89">
        <v>12</v>
      </c>
      <c r="AJ89">
        <v>0.49</v>
      </c>
      <c r="AK89">
        <v>169</v>
      </c>
      <c r="AL89">
        <v>227721000</v>
      </c>
      <c r="AM89">
        <v>0.80100000000000005</v>
      </c>
    </row>
    <row r="90" spans="1:39" x14ac:dyDescent="0.25">
      <c r="A90">
        <v>0.111420000000009</v>
      </c>
      <c r="B90">
        <v>274.83233999999999</v>
      </c>
      <c r="C90">
        <v>-0.20653685607903899</v>
      </c>
      <c r="D90">
        <v>0.29775999999998198</v>
      </c>
      <c r="E90" s="1">
        <v>45846</v>
      </c>
      <c r="F90">
        <v>227721200</v>
      </c>
      <c r="G90">
        <v>4</v>
      </c>
      <c r="H90">
        <v>9.6293821666999992</v>
      </c>
      <c r="I90">
        <v>49.679424500000003</v>
      </c>
      <c r="J90">
        <v>4.6539999999999998E-2</v>
      </c>
      <c r="K90">
        <v>103.71</v>
      </c>
      <c r="L90">
        <v>-1226.72</v>
      </c>
      <c r="M90">
        <v>120.9</v>
      </c>
      <c r="N90">
        <v>167.8</v>
      </c>
      <c r="O90">
        <v>33840</v>
      </c>
      <c r="P90">
        <v>0.90800000000000003</v>
      </c>
      <c r="Q90">
        <v>0.153799999999989</v>
      </c>
      <c r="R90">
        <v>66.944559999999996</v>
      </c>
      <c r="S90">
        <v>-0.17934108630513401</v>
      </c>
      <c r="T90">
        <v>0.35904999999999598</v>
      </c>
      <c r="U90" s="1">
        <v>45846</v>
      </c>
      <c r="V90">
        <v>227721200</v>
      </c>
      <c r="W90">
        <v>4</v>
      </c>
      <c r="X90">
        <v>9.6297078332999995</v>
      </c>
      <c r="Y90">
        <v>49.679458166700002</v>
      </c>
      <c r="Z90">
        <v>4.6859999999999999E-2</v>
      </c>
      <c r="AA90">
        <v>478.79</v>
      </c>
      <c r="AB90">
        <v>1124.93</v>
      </c>
      <c r="AC90">
        <v>191.64</v>
      </c>
      <c r="AD90">
        <v>167.1</v>
      </c>
      <c r="AE90">
        <v>33770</v>
      </c>
      <c r="AF90">
        <v>1.911</v>
      </c>
      <c r="AG90">
        <v>9.6295520000000003</v>
      </c>
      <c r="AH90">
        <v>49.679414999999999</v>
      </c>
      <c r="AI90">
        <v>12</v>
      </c>
      <c r="AJ90">
        <v>0.49</v>
      </c>
      <c r="AK90">
        <v>169</v>
      </c>
      <c r="AL90">
        <v>227721200</v>
      </c>
      <c r="AM90">
        <v>0.60099999999999998</v>
      </c>
    </row>
    <row r="91" spans="1:39" x14ac:dyDescent="0.25">
      <c r="A91">
        <v>0.35707999999999601</v>
      </c>
      <c r="B91">
        <v>275.07799999999997</v>
      </c>
      <c r="C91">
        <v>-0.17372078868694499</v>
      </c>
      <c r="D91">
        <v>0.245659999999986</v>
      </c>
      <c r="E91" s="1">
        <v>45846</v>
      </c>
      <c r="F91">
        <v>227721400</v>
      </c>
      <c r="G91">
        <v>4</v>
      </c>
      <c r="H91">
        <v>9.6293821666999992</v>
      </c>
      <c r="I91">
        <v>49.679424833299997</v>
      </c>
      <c r="J91">
        <v>4.65E-2</v>
      </c>
      <c r="K91">
        <v>109.05</v>
      </c>
      <c r="L91">
        <v>-1227.22</v>
      </c>
      <c r="M91">
        <v>120.3</v>
      </c>
      <c r="N91">
        <v>167.8</v>
      </c>
      <c r="O91">
        <v>33840</v>
      </c>
      <c r="P91">
        <v>0.249</v>
      </c>
      <c r="Q91">
        <v>0.297229999999999</v>
      </c>
      <c r="R91">
        <v>67.087990000000005</v>
      </c>
      <c r="S91">
        <v>-0.106187269612026</v>
      </c>
      <c r="T91">
        <v>0.14343000000000899</v>
      </c>
      <c r="U91" s="1">
        <v>45846</v>
      </c>
      <c r="V91">
        <v>227721400</v>
      </c>
      <c r="W91">
        <v>4</v>
      </c>
      <c r="X91">
        <v>9.6297081667000004</v>
      </c>
      <c r="Y91">
        <v>49.679457666700003</v>
      </c>
      <c r="Z91">
        <v>4.6870000000000002E-2</v>
      </c>
      <c r="AA91">
        <v>475.89</v>
      </c>
      <c r="AB91">
        <v>1125.93</v>
      </c>
      <c r="AC91">
        <v>191.48</v>
      </c>
      <c r="AD91">
        <v>167.1</v>
      </c>
      <c r="AE91">
        <v>33770</v>
      </c>
      <c r="AF91">
        <v>0.85299999999999998</v>
      </c>
      <c r="AG91">
        <v>9.6295520000000003</v>
      </c>
      <c r="AH91">
        <v>49.679414833300001</v>
      </c>
      <c r="AI91">
        <v>12</v>
      </c>
      <c r="AJ91">
        <v>0.49</v>
      </c>
      <c r="AK91">
        <v>169</v>
      </c>
      <c r="AL91">
        <v>227721400</v>
      </c>
      <c r="AM91">
        <v>0.42199999999999999</v>
      </c>
    </row>
    <row r="92" spans="1:39" x14ac:dyDescent="0.25">
      <c r="A92">
        <v>0.57125999999999499</v>
      </c>
      <c r="B92">
        <v>275.29217999999997</v>
      </c>
      <c r="C92">
        <v>-1.7574276311707202E-2</v>
      </c>
      <c r="D92">
        <v>0.21417999999999801</v>
      </c>
      <c r="E92" s="1">
        <v>45846</v>
      </c>
      <c r="F92">
        <v>227721600</v>
      </c>
      <c r="G92">
        <v>4</v>
      </c>
      <c r="H92">
        <v>9.6293819999999997</v>
      </c>
      <c r="I92">
        <v>49.679424833299997</v>
      </c>
      <c r="J92">
        <v>4.6449999999999998E-2</v>
      </c>
      <c r="K92">
        <v>113.76</v>
      </c>
      <c r="L92">
        <v>-1228.1400000000001</v>
      </c>
      <c r="M92">
        <v>120.02</v>
      </c>
      <c r="N92">
        <v>167.8</v>
      </c>
      <c r="O92">
        <v>33840</v>
      </c>
      <c r="P92">
        <v>0.93300000000000005</v>
      </c>
      <c r="Q92">
        <v>0.46882999999999603</v>
      </c>
      <c r="R92">
        <v>67.259590000000003</v>
      </c>
      <c r="S92">
        <v>4.0731899190527103E-2</v>
      </c>
      <c r="T92">
        <v>0.171599999999997</v>
      </c>
      <c r="U92" s="1">
        <v>45846</v>
      </c>
      <c r="V92">
        <v>227721600</v>
      </c>
      <c r="W92">
        <v>4</v>
      </c>
      <c r="X92">
        <v>9.6297081667000004</v>
      </c>
      <c r="Y92">
        <v>49.679457166699997</v>
      </c>
      <c r="Z92">
        <v>4.691E-2</v>
      </c>
      <c r="AA92">
        <v>472.16</v>
      </c>
      <c r="AB92">
        <v>1126.51</v>
      </c>
      <c r="AC92">
        <v>191.57</v>
      </c>
      <c r="AD92">
        <v>167.1</v>
      </c>
      <c r="AE92">
        <v>33770</v>
      </c>
      <c r="AF92">
        <v>1.2130000000000001</v>
      </c>
      <c r="AG92">
        <v>9.6295520000000003</v>
      </c>
      <c r="AH92">
        <v>49.6794145</v>
      </c>
      <c r="AI92">
        <v>12</v>
      </c>
      <c r="AJ92">
        <v>0.49</v>
      </c>
      <c r="AK92">
        <v>169</v>
      </c>
      <c r="AL92">
        <v>227721600</v>
      </c>
      <c r="AM92">
        <v>0.25600000000000001</v>
      </c>
    </row>
    <row r="93" spans="1:39" x14ac:dyDescent="0.25">
      <c r="A93">
        <v>0.79836000000000196</v>
      </c>
      <c r="B93">
        <v>275.51927999999998</v>
      </c>
      <c r="C93">
        <v>0.38900016000791199</v>
      </c>
      <c r="D93">
        <v>0.22710000000000699</v>
      </c>
      <c r="E93" s="1">
        <v>45846</v>
      </c>
      <c r="F93">
        <v>227721800</v>
      </c>
      <c r="G93">
        <v>4</v>
      </c>
      <c r="H93">
        <v>9.6293818333000001</v>
      </c>
      <c r="I93">
        <v>49.6794251667</v>
      </c>
      <c r="J93">
        <v>4.6429999999999999E-2</v>
      </c>
      <c r="K93">
        <v>118.69</v>
      </c>
      <c r="L93">
        <v>-1228.3599999999999</v>
      </c>
      <c r="M93">
        <v>119.83</v>
      </c>
      <c r="N93">
        <v>167.8</v>
      </c>
      <c r="O93">
        <v>33840</v>
      </c>
      <c r="P93">
        <v>0.56499999999999995</v>
      </c>
      <c r="Q93">
        <v>0.70693999999998802</v>
      </c>
      <c r="R93">
        <v>67.497699999999995</v>
      </c>
      <c r="S93">
        <v>0.42951065791180998</v>
      </c>
      <c r="T93">
        <v>0.238109999999991</v>
      </c>
      <c r="U93" s="1">
        <v>45846</v>
      </c>
      <c r="V93">
        <v>227721800</v>
      </c>
      <c r="W93">
        <v>4</v>
      </c>
      <c r="X93">
        <v>9.6297083333</v>
      </c>
      <c r="Y93">
        <v>49.679456500000001</v>
      </c>
      <c r="Z93">
        <v>4.6949999999999999E-2</v>
      </c>
      <c r="AA93">
        <v>467.06</v>
      </c>
      <c r="AB93">
        <v>1127.44</v>
      </c>
      <c r="AC93">
        <v>192.04</v>
      </c>
      <c r="AD93">
        <v>167</v>
      </c>
      <c r="AE93">
        <v>33760</v>
      </c>
      <c r="AF93">
        <v>0.91700000000000004</v>
      </c>
      <c r="AG93">
        <v>9.6295521666999999</v>
      </c>
      <c r="AH93">
        <v>49.6794145</v>
      </c>
      <c r="AI93">
        <v>12</v>
      </c>
      <c r="AJ93">
        <v>0.49</v>
      </c>
      <c r="AK93">
        <v>169</v>
      </c>
      <c r="AL93">
        <v>227721800</v>
      </c>
      <c r="AM93">
        <v>7.8E-2</v>
      </c>
    </row>
    <row r="94" spans="1:39" x14ac:dyDescent="0.25">
      <c r="A94">
        <v>0.78100000000000502</v>
      </c>
      <c r="B94">
        <v>275.50191999999998</v>
      </c>
      <c r="C94">
        <v>0.91044060605160304</v>
      </c>
      <c r="D94">
        <v>-1.7359999999996399E-2</v>
      </c>
      <c r="E94" s="1">
        <v>45846</v>
      </c>
      <c r="F94">
        <v>227722000</v>
      </c>
      <c r="G94">
        <v>4</v>
      </c>
      <c r="H94">
        <v>9.6293819999999997</v>
      </c>
      <c r="I94">
        <v>49.6794251667</v>
      </c>
      <c r="J94">
        <v>4.6440000000000002E-2</v>
      </c>
      <c r="K94">
        <v>118.29</v>
      </c>
      <c r="L94">
        <v>-1228.07</v>
      </c>
      <c r="M94">
        <v>119.87</v>
      </c>
      <c r="N94">
        <v>167.8</v>
      </c>
      <c r="O94">
        <v>33830</v>
      </c>
      <c r="P94">
        <v>0.22800000000000001</v>
      </c>
      <c r="Q94">
        <v>0.69638999999999396</v>
      </c>
      <c r="R94">
        <v>67.48715</v>
      </c>
      <c r="S94">
        <v>0.95925969696000302</v>
      </c>
      <c r="T94">
        <v>-1.05499999999949E-2</v>
      </c>
      <c r="U94" s="1">
        <v>45846</v>
      </c>
      <c r="V94">
        <v>227722000</v>
      </c>
      <c r="W94">
        <v>4</v>
      </c>
      <c r="X94">
        <v>9.6297083333</v>
      </c>
      <c r="Y94">
        <v>49.679456500000001</v>
      </c>
      <c r="Z94">
        <v>4.6940000000000003E-2</v>
      </c>
      <c r="AA94">
        <v>467.35</v>
      </c>
      <c r="AB94">
        <v>1127.57</v>
      </c>
      <c r="AC94">
        <v>191.97</v>
      </c>
      <c r="AD94">
        <v>167</v>
      </c>
      <c r="AE94">
        <v>33750</v>
      </c>
      <c r="AF94">
        <v>5.8999999999999997E-2</v>
      </c>
      <c r="AG94">
        <v>9.6295520000000003</v>
      </c>
      <c r="AH94">
        <v>49.679414333300002</v>
      </c>
      <c r="AI94">
        <v>12</v>
      </c>
      <c r="AJ94">
        <v>0.49</v>
      </c>
      <c r="AK94">
        <v>168.9</v>
      </c>
      <c r="AL94">
        <v>227722000</v>
      </c>
      <c r="AM94">
        <v>5.8999999999999997E-2</v>
      </c>
    </row>
    <row r="95" spans="1:39" x14ac:dyDescent="0.25">
      <c r="A95">
        <v>0.69442000000003601</v>
      </c>
      <c r="B95">
        <v>275.41534000000001</v>
      </c>
      <c r="C95">
        <v>0.85788060611704997</v>
      </c>
      <c r="D95">
        <v>-8.6579999999969404E-2</v>
      </c>
      <c r="E95" s="1">
        <v>45846</v>
      </c>
      <c r="F95">
        <v>227722200</v>
      </c>
      <c r="G95">
        <v>4</v>
      </c>
      <c r="H95">
        <v>9.6293818333000001</v>
      </c>
      <c r="I95">
        <v>49.679425000000002</v>
      </c>
      <c r="J95">
        <v>4.6449999999999998E-2</v>
      </c>
      <c r="K95">
        <v>116.42</v>
      </c>
      <c r="L95">
        <v>-1228.0999999999999</v>
      </c>
      <c r="M95">
        <v>119.72</v>
      </c>
      <c r="N95">
        <v>167.8</v>
      </c>
      <c r="O95">
        <v>33830</v>
      </c>
      <c r="P95">
        <v>0.247</v>
      </c>
      <c r="Q95">
        <v>0.65408999999999595</v>
      </c>
      <c r="R95">
        <v>67.444850000000002</v>
      </c>
      <c r="S95">
        <v>0.94961060610992798</v>
      </c>
      <c r="T95">
        <v>-4.2299999999997298E-2</v>
      </c>
      <c r="U95" s="1">
        <v>45846</v>
      </c>
      <c r="V95">
        <v>227722200</v>
      </c>
      <c r="W95">
        <v>4</v>
      </c>
      <c r="X95">
        <v>9.6297081667000004</v>
      </c>
      <c r="Y95">
        <v>49.679456500000001</v>
      </c>
      <c r="Z95">
        <v>4.6940000000000003E-2</v>
      </c>
      <c r="AA95">
        <v>468.21</v>
      </c>
      <c r="AB95">
        <v>1127.28</v>
      </c>
      <c r="AC95">
        <v>192.14</v>
      </c>
      <c r="AD95">
        <v>167</v>
      </c>
      <c r="AE95">
        <v>33750</v>
      </c>
      <c r="AF95">
        <v>0.55600000000000005</v>
      </c>
      <c r="AG95">
        <v>9.6295520000000003</v>
      </c>
      <c r="AH95">
        <v>49.679414333300002</v>
      </c>
      <c r="AI95">
        <v>12</v>
      </c>
      <c r="AJ95">
        <v>0.49</v>
      </c>
      <c r="AK95">
        <v>168.9</v>
      </c>
      <c r="AL95">
        <v>227722200</v>
      </c>
      <c r="AM95">
        <v>0.14299999999999999</v>
      </c>
    </row>
    <row r="96" spans="1:39" x14ac:dyDescent="0.25">
      <c r="A96">
        <v>0.537080000000003</v>
      </c>
      <c r="B96">
        <v>275.25799999999998</v>
      </c>
      <c r="C96">
        <v>0.69048181819763499</v>
      </c>
      <c r="D96">
        <v>-0.15734000000003301</v>
      </c>
      <c r="E96" s="1">
        <v>45846</v>
      </c>
      <c r="F96">
        <v>227722400</v>
      </c>
      <c r="G96">
        <v>4</v>
      </c>
      <c r="H96">
        <v>9.6293819999999997</v>
      </c>
      <c r="I96">
        <v>49.679424833299997</v>
      </c>
      <c r="J96">
        <v>4.6469999999999997E-2</v>
      </c>
      <c r="K96">
        <v>112.99</v>
      </c>
      <c r="L96">
        <v>-1227.74</v>
      </c>
      <c r="M96">
        <v>120.28</v>
      </c>
      <c r="N96">
        <v>167.8</v>
      </c>
      <c r="O96">
        <v>33830</v>
      </c>
      <c r="P96">
        <v>0.58199999999999996</v>
      </c>
      <c r="Q96">
        <v>0.37693999999999001</v>
      </c>
      <c r="R96">
        <v>67.167699999999996</v>
      </c>
      <c r="S96">
        <v>0.68033181819061705</v>
      </c>
      <c r="T96">
        <v>-0.277150000000006</v>
      </c>
      <c r="U96" s="1">
        <v>45846</v>
      </c>
      <c r="V96">
        <v>227722400</v>
      </c>
      <c r="W96">
        <v>4</v>
      </c>
      <c r="X96">
        <v>9.6297080000000008</v>
      </c>
      <c r="Y96">
        <v>49.679457166699997</v>
      </c>
      <c r="Z96">
        <v>4.6890000000000001E-2</v>
      </c>
      <c r="AA96">
        <v>474.12</v>
      </c>
      <c r="AB96">
        <v>1126.1199999999999</v>
      </c>
      <c r="AC96">
        <v>192.36</v>
      </c>
      <c r="AD96">
        <v>167</v>
      </c>
      <c r="AE96">
        <v>33750</v>
      </c>
      <c r="AF96">
        <v>1.3009999999999999</v>
      </c>
      <c r="AG96">
        <v>9.6295520000000003</v>
      </c>
      <c r="AH96">
        <v>49.6794145</v>
      </c>
      <c r="AI96">
        <v>12</v>
      </c>
      <c r="AJ96">
        <v>0.49</v>
      </c>
      <c r="AK96">
        <v>168.9</v>
      </c>
      <c r="AL96">
        <v>227722400</v>
      </c>
      <c r="AM96">
        <v>0.2</v>
      </c>
    </row>
    <row r="97" spans="1:39" x14ac:dyDescent="0.25">
      <c r="A97">
        <v>0.441120000000012</v>
      </c>
      <c r="B97">
        <v>275.16203999999999</v>
      </c>
      <c r="C97">
        <v>0.48181878786489601</v>
      </c>
      <c r="D97">
        <v>-9.59599999999909E-2</v>
      </c>
      <c r="E97" s="1">
        <v>45846</v>
      </c>
      <c r="F97">
        <v>227722600</v>
      </c>
      <c r="G97">
        <v>4</v>
      </c>
      <c r="H97">
        <v>9.6293819999999997</v>
      </c>
      <c r="I97">
        <v>49.679424666700001</v>
      </c>
      <c r="J97">
        <v>4.648E-2</v>
      </c>
      <c r="K97">
        <v>110.91</v>
      </c>
      <c r="L97">
        <v>-1227.6600000000001</v>
      </c>
      <c r="M97">
        <v>120.46</v>
      </c>
      <c r="N97">
        <v>167.8</v>
      </c>
      <c r="O97">
        <v>33830</v>
      </c>
      <c r="P97">
        <v>6.4000000000000001E-2</v>
      </c>
      <c r="Q97">
        <v>0.21338999999998901</v>
      </c>
      <c r="R97">
        <v>67.004149999999996</v>
      </c>
      <c r="S97">
        <v>0.37625818181094101</v>
      </c>
      <c r="T97">
        <v>-0.16355</v>
      </c>
      <c r="U97" s="1">
        <v>45846</v>
      </c>
      <c r="V97">
        <v>227722600</v>
      </c>
      <c r="W97">
        <v>4</v>
      </c>
      <c r="X97">
        <v>9.6297080000000008</v>
      </c>
      <c r="Y97">
        <v>49.679457666700003</v>
      </c>
      <c r="Z97">
        <v>4.6870000000000002E-2</v>
      </c>
      <c r="AA97">
        <v>477.6</v>
      </c>
      <c r="AB97">
        <v>1125.3699999999999</v>
      </c>
      <c r="AC97">
        <v>192.47</v>
      </c>
      <c r="AD97">
        <v>167</v>
      </c>
      <c r="AE97">
        <v>33750</v>
      </c>
      <c r="AF97">
        <v>0.81</v>
      </c>
      <c r="AG97">
        <v>9.6295520000000003</v>
      </c>
      <c r="AH97">
        <v>49.6794145</v>
      </c>
      <c r="AI97">
        <v>12</v>
      </c>
      <c r="AJ97">
        <v>0.49</v>
      </c>
      <c r="AK97">
        <v>168.9</v>
      </c>
      <c r="AL97">
        <v>227722600</v>
      </c>
      <c r="AM97">
        <v>0.193</v>
      </c>
    </row>
    <row r="98" spans="1:39" x14ac:dyDescent="0.25">
      <c r="A98">
        <v>0.27776000000000001</v>
      </c>
      <c r="B98">
        <v>274.99867999999998</v>
      </c>
      <c r="C98">
        <v>0.234452121210664</v>
      </c>
      <c r="D98">
        <v>-0.163360000000011</v>
      </c>
      <c r="E98" s="1">
        <v>45846</v>
      </c>
      <c r="F98">
        <v>227722800</v>
      </c>
      <c r="G98">
        <v>4</v>
      </c>
      <c r="H98">
        <v>9.6293819999999997</v>
      </c>
      <c r="I98">
        <v>49.679424500000003</v>
      </c>
      <c r="J98">
        <v>4.65E-2</v>
      </c>
      <c r="K98">
        <v>107.35</v>
      </c>
      <c r="L98">
        <v>-1227.3800000000001</v>
      </c>
      <c r="M98">
        <v>120.72</v>
      </c>
      <c r="N98">
        <v>167.8</v>
      </c>
      <c r="O98">
        <v>33830</v>
      </c>
      <c r="P98">
        <v>0.72299999999999998</v>
      </c>
      <c r="Q98">
        <v>1.3939999999990901E-2</v>
      </c>
      <c r="R98">
        <v>66.804699999999997</v>
      </c>
      <c r="S98">
        <v>0.10101878787638199</v>
      </c>
      <c r="T98">
        <v>-0.19944999999999799</v>
      </c>
      <c r="U98" s="1">
        <v>45846</v>
      </c>
      <c r="V98">
        <v>227722800</v>
      </c>
      <c r="W98">
        <v>4</v>
      </c>
      <c r="X98">
        <v>9.6297078332999995</v>
      </c>
      <c r="Y98">
        <v>49.679457999999997</v>
      </c>
      <c r="Z98">
        <v>4.6829999999999997E-2</v>
      </c>
      <c r="AA98">
        <v>481.92</v>
      </c>
      <c r="AB98">
        <v>1124.6600000000001</v>
      </c>
      <c r="AC98">
        <v>193.13</v>
      </c>
      <c r="AD98">
        <v>167</v>
      </c>
      <c r="AE98">
        <v>33750</v>
      </c>
      <c r="AF98">
        <v>0.97699999999999998</v>
      </c>
      <c r="AG98">
        <v>9.6295518333000008</v>
      </c>
      <c r="AH98">
        <v>49.6794145</v>
      </c>
      <c r="AI98">
        <v>12</v>
      </c>
      <c r="AJ98">
        <v>0.49</v>
      </c>
      <c r="AK98">
        <v>168.9</v>
      </c>
      <c r="AL98">
        <v>227722800</v>
      </c>
      <c r="AM98">
        <v>0.191</v>
      </c>
    </row>
    <row r="99" spans="1:39" x14ac:dyDescent="0.25">
      <c r="A99">
        <v>7.63200000000097E-2</v>
      </c>
      <c r="B99">
        <v>274.79723999999999</v>
      </c>
      <c r="C99">
        <v>-7.2492727260679193E-2</v>
      </c>
      <c r="D99">
        <v>-0.20143999999998999</v>
      </c>
      <c r="E99" s="1">
        <v>45846</v>
      </c>
      <c r="F99">
        <v>227723000</v>
      </c>
      <c r="G99">
        <v>4</v>
      </c>
      <c r="H99">
        <v>9.6293819999999997</v>
      </c>
      <c r="I99">
        <v>49.679424166700002</v>
      </c>
      <c r="J99">
        <v>4.6539999999999998E-2</v>
      </c>
      <c r="K99">
        <v>102.96</v>
      </c>
      <c r="L99">
        <v>-1226.82</v>
      </c>
      <c r="M99">
        <v>120.9</v>
      </c>
      <c r="N99">
        <v>167.8</v>
      </c>
      <c r="O99">
        <v>33830</v>
      </c>
      <c r="P99">
        <v>0.63200000000000001</v>
      </c>
      <c r="Q99">
        <v>-9.5570000000009203E-2</v>
      </c>
      <c r="R99">
        <v>66.695189999999997</v>
      </c>
      <c r="S99">
        <v>-0.19808666665320801</v>
      </c>
      <c r="T99">
        <v>-0.10951</v>
      </c>
      <c r="U99" s="1">
        <v>45846</v>
      </c>
      <c r="V99">
        <v>227723000</v>
      </c>
      <c r="W99">
        <v>4</v>
      </c>
      <c r="X99">
        <v>9.6297076666999999</v>
      </c>
      <c r="Y99">
        <v>49.679458333299998</v>
      </c>
      <c r="Z99">
        <v>4.6820000000000001E-2</v>
      </c>
      <c r="AA99">
        <v>484.17</v>
      </c>
      <c r="AB99">
        <v>1123.98</v>
      </c>
      <c r="AC99">
        <v>192.62</v>
      </c>
      <c r="AD99">
        <v>167</v>
      </c>
      <c r="AE99">
        <v>33750</v>
      </c>
      <c r="AF99">
        <v>0.438</v>
      </c>
      <c r="AG99">
        <v>9.6295518333000008</v>
      </c>
      <c r="AH99">
        <v>49.6794145</v>
      </c>
      <c r="AI99">
        <v>12</v>
      </c>
      <c r="AJ99">
        <v>0.49</v>
      </c>
      <c r="AK99">
        <v>168.9</v>
      </c>
      <c r="AL99">
        <v>227723000</v>
      </c>
      <c r="AM99">
        <v>0.13</v>
      </c>
    </row>
    <row r="100" spans="1:39" x14ac:dyDescent="0.25">
      <c r="A100">
        <v>-4.5500000000004003E-2</v>
      </c>
      <c r="B100">
        <v>274.67541999999997</v>
      </c>
      <c r="C100">
        <v>-0.32932666665799898</v>
      </c>
      <c r="D100">
        <v>-0.121820000000013</v>
      </c>
      <c r="E100" s="1">
        <v>45846</v>
      </c>
      <c r="F100">
        <v>227723200</v>
      </c>
      <c r="G100">
        <v>4</v>
      </c>
      <c r="H100">
        <v>9.6293819999999997</v>
      </c>
      <c r="I100">
        <v>49.6794238333</v>
      </c>
      <c r="J100">
        <v>4.657E-2</v>
      </c>
      <c r="K100">
        <v>100.29</v>
      </c>
      <c r="L100">
        <v>-1226.26</v>
      </c>
      <c r="M100">
        <v>120.93</v>
      </c>
      <c r="N100">
        <v>167.8</v>
      </c>
      <c r="O100">
        <v>33830</v>
      </c>
      <c r="P100">
        <v>0.45100000000000001</v>
      </c>
      <c r="Q100">
        <v>-0.23111000000000101</v>
      </c>
      <c r="R100">
        <v>66.559650000000005</v>
      </c>
      <c r="S100">
        <v>-0.42112151514068102</v>
      </c>
      <c r="T100">
        <v>-0.135539999999991</v>
      </c>
      <c r="U100" s="1">
        <v>45846</v>
      </c>
      <c r="V100">
        <v>227723200</v>
      </c>
      <c r="W100">
        <v>4</v>
      </c>
      <c r="X100">
        <v>9.6297076666999999</v>
      </c>
      <c r="Y100">
        <v>49.6794586667</v>
      </c>
      <c r="Z100">
        <v>4.6789999999999998E-2</v>
      </c>
      <c r="AA100">
        <v>487.1</v>
      </c>
      <c r="AB100">
        <v>1123.45</v>
      </c>
      <c r="AC100">
        <v>192.67</v>
      </c>
      <c r="AD100">
        <v>167</v>
      </c>
      <c r="AE100">
        <v>33750</v>
      </c>
      <c r="AF100">
        <v>0.64600000000000002</v>
      </c>
      <c r="AG100">
        <v>9.6295518333000008</v>
      </c>
      <c r="AH100">
        <v>49.6794145</v>
      </c>
      <c r="AI100">
        <v>12</v>
      </c>
      <c r="AJ100">
        <v>0.49</v>
      </c>
      <c r="AK100">
        <v>168.9</v>
      </c>
      <c r="AL100">
        <v>227723200</v>
      </c>
      <c r="AM100">
        <v>0.08</v>
      </c>
    </row>
    <row r="101" spans="1:39" x14ac:dyDescent="0.25">
      <c r="A101">
        <v>-0.18695999999999899</v>
      </c>
      <c r="B101">
        <v>274.53395999999998</v>
      </c>
      <c r="C101">
        <v>-0.53334363644557703</v>
      </c>
      <c r="D101">
        <v>-0.14145999999999501</v>
      </c>
      <c r="E101" s="1">
        <v>45846</v>
      </c>
      <c r="F101">
        <v>227723400</v>
      </c>
      <c r="G101">
        <v>4</v>
      </c>
      <c r="H101">
        <v>9.6293821666999992</v>
      </c>
      <c r="I101">
        <v>49.679423666700004</v>
      </c>
      <c r="J101">
        <v>4.6600000000000003E-2</v>
      </c>
      <c r="K101">
        <v>97.2</v>
      </c>
      <c r="L101">
        <v>-1225.73</v>
      </c>
      <c r="M101">
        <v>121.28</v>
      </c>
      <c r="N101">
        <v>167.8</v>
      </c>
      <c r="O101">
        <v>33830</v>
      </c>
      <c r="P101">
        <v>0.51200000000000001</v>
      </c>
      <c r="Q101">
        <v>-0.38353000000000698</v>
      </c>
      <c r="R101">
        <v>66.407229999999998</v>
      </c>
      <c r="S101">
        <v>-0.61458757584935797</v>
      </c>
      <c r="T101">
        <v>-0.152420000000006</v>
      </c>
      <c r="U101" s="1">
        <v>45846</v>
      </c>
      <c r="V101">
        <v>227723400</v>
      </c>
      <c r="W101">
        <v>4</v>
      </c>
      <c r="X101">
        <v>9.6297075000000003</v>
      </c>
      <c r="Y101">
        <v>49.679458833299996</v>
      </c>
      <c r="Z101">
        <v>4.6760000000000003E-2</v>
      </c>
      <c r="AA101">
        <v>490.43</v>
      </c>
      <c r="AB101">
        <v>1122.93</v>
      </c>
      <c r="AC101">
        <v>193.17</v>
      </c>
      <c r="AD101">
        <v>167</v>
      </c>
      <c r="AE101">
        <v>33750</v>
      </c>
      <c r="AF101">
        <v>0.56599999999999995</v>
      </c>
      <c r="AG101">
        <v>9.6295516666999994</v>
      </c>
      <c r="AH101">
        <v>49.6794145</v>
      </c>
      <c r="AI101">
        <v>12</v>
      </c>
      <c r="AJ101">
        <v>0.49</v>
      </c>
      <c r="AK101">
        <v>168.9</v>
      </c>
      <c r="AL101">
        <v>227723400</v>
      </c>
      <c r="AM101">
        <v>5.2999999999999999E-2</v>
      </c>
    </row>
    <row r="102" spans="1:39" x14ac:dyDescent="0.25">
      <c r="A102">
        <v>-0.25737999999995498</v>
      </c>
      <c r="B102">
        <v>274.46354000000002</v>
      </c>
      <c r="C102">
        <v>-0.65220060608327801</v>
      </c>
      <c r="D102">
        <v>-7.0419999999955907E-2</v>
      </c>
      <c r="E102" s="1">
        <v>45846</v>
      </c>
      <c r="F102">
        <v>227723600</v>
      </c>
      <c r="G102">
        <v>4</v>
      </c>
      <c r="H102">
        <v>9.6293819999999997</v>
      </c>
      <c r="I102">
        <v>49.679423166699998</v>
      </c>
      <c r="J102">
        <v>4.6609999999999999E-2</v>
      </c>
      <c r="K102">
        <v>95.66</v>
      </c>
      <c r="L102">
        <v>-1225.5</v>
      </c>
      <c r="M102">
        <v>120.7</v>
      </c>
      <c r="N102">
        <v>167.7</v>
      </c>
      <c r="O102">
        <v>33820</v>
      </c>
      <c r="P102">
        <v>0.26700000000000002</v>
      </c>
      <c r="Q102">
        <v>-0.46818000000000298</v>
      </c>
      <c r="R102">
        <v>66.322580000000002</v>
      </c>
      <c r="S102">
        <v>-0.73268181820638301</v>
      </c>
      <c r="T102">
        <v>-8.4649999999996298E-2</v>
      </c>
      <c r="U102" s="1">
        <v>45846</v>
      </c>
      <c r="V102">
        <v>227723600</v>
      </c>
      <c r="W102">
        <v>4</v>
      </c>
      <c r="X102">
        <v>9.6297073333000007</v>
      </c>
      <c r="Y102">
        <v>49.679458833299996</v>
      </c>
      <c r="Z102">
        <v>4.675E-2</v>
      </c>
      <c r="AA102">
        <v>492.23</v>
      </c>
      <c r="AB102">
        <v>1122.52</v>
      </c>
      <c r="AC102">
        <v>193.22</v>
      </c>
      <c r="AD102">
        <v>167</v>
      </c>
      <c r="AE102">
        <v>33750</v>
      </c>
      <c r="AF102">
        <v>0.24199999999999999</v>
      </c>
      <c r="AG102">
        <v>9.6295516666999994</v>
      </c>
      <c r="AH102">
        <v>49.6794145</v>
      </c>
      <c r="AI102">
        <v>12</v>
      </c>
      <c r="AJ102">
        <v>0.49</v>
      </c>
      <c r="AK102">
        <v>168.9</v>
      </c>
      <c r="AL102">
        <v>227723600</v>
      </c>
      <c r="AM102">
        <v>5.2999999999999999E-2</v>
      </c>
    </row>
    <row r="103" spans="1:39" x14ac:dyDescent="0.25">
      <c r="A103">
        <v>-0.248839999999972</v>
      </c>
      <c r="B103">
        <v>274.47208000000001</v>
      </c>
      <c r="C103">
        <v>-0.64280787879748702</v>
      </c>
      <c r="D103">
        <v>8.5399999999822198E-3</v>
      </c>
      <c r="E103" s="1">
        <v>45846</v>
      </c>
      <c r="F103">
        <v>227723800</v>
      </c>
      <c r="G103">
        <v>4</v>
      </c>
      <c r="H103">
        <v>9.6293819999999997</v>
      </c>
      <c r="I103">
        <v>49.679423166699998</v>
      </c>
      <c r="J103">
        <v>4.6609999999999999E-2</v>
      </c>
      <c r="K103">
        <v>95.85</v>
      </c>
      <c r="L103">
        <v>-1225.55</v>
      </c>
      <c r="M103">
        <v>120.45</v>
      </c>
      <c r="N103">
        <v>167.7</v>
      </c>
      <c r="O103">
        <v>33820</v>
      </c>
      <c r="P103">
        <v>9.4E-2</v>
      </c>
      <c r="Q103">
        <v>-0.37844000000001099</v>
      </c>
      <c r="R103">
        <v>66.412319999999994</v>
      </c>
      <c r="S103">
        <v>-0.69014303031253699</v>
      </c>
      <c r="T103">
        <v>8.9739999999991896E-2</v>
      </c>
      <c r="U103" s="1">
        <v>45846</v>
      </c>
      <c r="V103">
        <v>227723800</v>
      </c>
      <c r="W103">
        <v>4</v>
      </c>
      <c r="X103">
        <v>9.6297073333000007</v>
      </c>
      <c r="Y103">
        <v>49.6794586667</v>
      </c>
      <c r="Z103">
        <v>4.6769999999999999E-2</v>
      </c>
      <c r="AA103">
        <v>490.25</v>
      </c>
      <c r="AB103">
        <v>1122.8</v>
      </c>
      <c r="AC103">
        <v>193.46</v>
      </c>
      <c r="AD103">
        <v>167</v>
      </c>
      <c r="AE103">
        <v>33750</v>
      </c>
      <c r="AF103">
        <v>0.79700000000000004</v>
      </c>
      <c r="AG103">
        <v>9.6295516666999994</v>
      </c>
      <c r="AH103">
        <v>49.679414333300002</v>
      </c>
      <c r="AI103">
        <v>12</v>
      </c>
      <c r="AJ103">
        <v>0.49</v>
      </c>
      <c r="AK103">
        <v>168.9</v>
      </c>
      <c r="AL103">
        <v>227723800</v>
      </c>
      <c r="AM103">
        <v>0.115</v>
      </c>
    </row>
    <row r="104" spans="1:39" x14ac:dyDescent="0.25">
      <c r="A104">
        <v>-0.151919999999961</v>
      </c>
      <c r="B104">
        <v>274.56900000000002</v>
      </c>
      <c r="C104">
        <v>-0.54930242423574505</v>
      </c>
      <c r="D104">
        <v>9.69200000000114E-2</v>
      </c>
      <c r="E104" s="1">
        <v>45846</v>
      </c>
      <c r="F104">
        <v>227724000</v>
      </c>
      <c r="G104">
        <v>4</v>
      </c>
      <c r="H104">
        <v>9.6293819999999997</v>
      </c>
      <c r="I104">
        <v>49.679423333300001</v>
      </c>
      <c r="J104">
        <v>4.6589999999999999E-2</v>
      </c>
      <c r="K104">
        <v>97.96</v>
      </c>
      <c r="L104">
        <v>-1225.8</v>
      </c>
      <c r="M104">
        <v>120.01</v>
      </c>
      <c r="N104">
        <v>167.7</v>
      </c>
      <c r="O104">
        <v>33820</v>
      </c>
      <c r="P104">
        <v>0.36</v>
      </c>
      <c r="Q104">
        <v>-0.229320000000001</v>
      </c>
      <c r="R104">
        <v>66.561440000000005</v>
      </c>
      <c r="S104">
        <v>-0.54467121211646896</v>
      </c>
      <c r="T104">
        <v>0.14912000000000999</v>
      </c>
      <c r="U104" s="1">
        <v>45846</v>
      </c>
      <c r="V104">
        <v>227724000</v>
      </c>
      <c r="W104">
        <v>4</v>
      </c>
      <c r="X104">
        <v>9.6297075000000003</v>
      </c>
      <c r="Y104">
        <v>49.679458333299998</v>
      </c>
      <c r="Z104">
        <v>4.6789999999999998E-2</v>
      </c>
      <c r="AA104">
        <v>487.11</v>
      </c>
      <c r="AB104">
        <v>1123.57</v>
      </c>
      <c r="AC104">
        <v>193.35</v>
      </c>
      <c r="AD104">
        <v>167</v>
      </c>
      <c r="AE104">
        <v>33750</v>
      </c>
      <c r="AF104">
        <v>0.45900000000000002</v>
      </c>
      <c r="AG104">
        <v>9.6295516666999994</v>
      </c>
      <c r="AH104">
        <v>49.679414333300002</v>
      </c>
      <c r="AI104">
        <v>12</v>
      </c>
      <c r="AJ104">
        <v>0.49</v>
      </c>
      <c r="AK104">
        <v>168.9</v>
      </c>
      <c r="AL104">
        <v>227724000</v>
      </c>
      <c r="AM104">
        <v>2.9000000000000001E-2</v>
      </c>
    </row>
    <row r="105" spans="1:39" x14ac:dyDescent="0.25">
      <c r="A105">
        <v>-3.5899999999969602E-2</v>
      </c>
      <c r="B105">
        <v>274.68502000000001</v>
      </c>
      <c r="C105">
        <v>-0.39647454545005301</v>
      </c>
      <c r="D105">
        <v>0.11601999999999101</v>
      </c>
      <c r="E105" s="1">
        <v>45846</v>
      </c>
      <c r="F105">
        <v>227724200</v>
      </c>
      <c r="G105">
        <v>4</v>
      </c>
      <c r="H105">
        <v>9.6293819999999997</v>
      </c>
      <c r="I105">
        <v>49.679423666700004</v>
      </c>
      <c r="J105">
        <v>4.657E-2</v>
      </c>
      <c r="K105">
        <v>100.48</v>
      </c>
      <c r="L105">
        <v>-1226.1400000000001</v>
      </c>
      <c r="M105">
        <v>119.4</v>
      </c>
      <c r="N105">
        <v>167.7</v>
      </c>
      <c r="O105">
        <v>33820</v>
      </c>
      <c r="P105">
        <v>0.501</v>
      </c>
      <c r="Q105">
        <v>-0.111029999999999</v>
      </c>
      <c r="R105">
        <v>66.679730000000006</v>
      </c>
      <c r="S105">
        <v>-0.32493484847943699</v>
      </c>
      <c r="T105">
        <v>0.11829000000000101</v>
      </c>
      <c r="U105" s="1">
        <v>45846</v>
      </c>
      <c r="V105">
        <v>227724200</v>
      </c>
      <c r="W105">
        <v>4</v>
      </c>
      <c r="X105">
        <v>9.6297076666999999</v>
      </c>
      <c r="Y105">
        <v>49.679457999999997</v>
      </c>
      <c r="Z105">
        <v>4.6809999999999997E-2</v>
      </c>
      <c r="AA105">
        <v>484.52</v>
      </c>
      <c r="AB105">
        <v>1123.95</v>
      </c>
      <c r="AC105">
        <v>193.42</v>
      </c>
      <c r="AD105">
        <v>167</v>
      </c>
      <c r="AE105">
        <v>33750</v>
      </c>
      <c r="AF105">
        <v>0.62</v>
      </c>
      <c r="AG105">
        <v>9.6295516666999994</v>
      </c>
      <c r="AH105">
        <v>49.679414333300002</v>
      </c>
      <c r="AI105">
        <v>12</v>
      </c>
      <c r="AJ105">
        <v>0.49</v>
      </c>
      <c r="AK105">
        <v>168.9</v>
      </c>
      <c r="AL105">
        <v>227724200</v>
      </c>
      <c r="AM105">
        <v>3.6999999999999998E-2</v>
      </c>
    </row>
    <row r="106" spans="1:39" x14ac:dyDescent="0.25">
      <c r="A106">
        <v>0.15374000000002699</v>
      </c>
      <c r="B106">
        <v>274.87466000000001</v>
      </c>
      <c r="C106">
        <v>-0.200111515158682</v>
      </c>
      <c r="D106">
        <v>0.18963999999999701</v>
      </c>
      <c r="E106" s="1">
        <v>45846</v>
      </c>
      <c r="F106">
        <v>227724400</v>
      </c>
      <c r="G106">
        <v>4</v>
      </c>
      <c r="H106">
        <v>9.6293818333000001</v>
      </c>
      <c r="I106">
        <v>49.679423999999997</v>
      </c>
      <c r="J106">
        <v>4.6539999999999998E-2</v>
      </c>
      <c r="K106">
        <v>104.61</v>
      </c>
      <c r="L106">
        <v>-1226.5899999999999</v>
      </c>
      <c r="M106">
        <v>119.03</v>
      </c>
      <c r="N106">
        <v>167.7</v>
      </c>
      <c r="O106">
        <v>33820</v>
      </c>
      <c r="P106">
        <v>0.748</v>
      </c>
      <c r="Q106">
        <v>5.0299999999907597E-3</v>
      </c>
      <c r="R106">
        <v>66.795789999999997</v>
      </c>
      <c r="S106">
        <v>-0.119558181830836</v>
      </c>
      <c r="T106">
        <v>0.11605999999999</v>
      </c>
      <c r="U106" s="1">
        <v>45846</v>
      </c>
      <c r="V106">
        <v>227724400</v>
      </c>
      <c r="W106">
        <v>4</v>
      </c>
      <c r="X106">
        <v>9.6297076666999999</v>
      </c>
      <c r="Y106">
        <v>49.679457833299999</v>
      </c>
      <c r="Z106">
        <v>4.6829999999999997E-2</v>
      </c>
      <c r="AA106">
        <v>482.08</v>
      </c>
      <c r="AB106">
        <v>1124.54</v>
      </c>
      <c r="AC106">
        <v>193.02</v>
      </c>
      <c r="AD106">
        <v>167</v>
      </c>
      <c r="AE106">
        <v>33750</v>
      </c>
      <c r="AF106">
        <v>0.46500000000000002</v>
      </c>
      <c r="AG106">
        <v>9.6295516666999994</v>
      </c>
      <c r="AH106">
        <v>49.679414166699999</v>
      </c>
      <c r="AI106">
        <v>12</v>
      </c>
      <c r="AJ106">
        <v>0.49</v>
      </c>
      <c r="AK106">
        <v>168.9</v>
      </c>
      <c r="AL106">
        <v>227724400</v>
      </c>
      <c r="AM106">
        <v>2.5999999999999999E-2</v>
      </c>
    </row>
    <row r="107" spans="1:39" x14ac:dyDescent="0.25">
      <c r="A107">
        <v>0.28054000000002999</v>
      </c>
      <c r="B107">
        <v>275.00146000000001</v>
      </c>
      <c r="C107">
        <v>2.2079393938213801E-2</v>
      </c>
      <c r="D107">
        <v>0.12680000000000199</v>
      </c>
      <c r="E107" s="1">
        <v>45846</v>
      </c>
      <c r="F107">
        <v>227724600</v>
      </c>
      <c r="G107">
        <v>4</v>
      </c>
      <c r="H107">
        <v>9.6293816667000005</v>
      </c>
      <c r="I107">
        <v>49.679423999999997</v>
      </c>
      <c r="J107">
        <v>4.6510000000000003E-2</v>
      </c>
      <c r="K107">
        <v>107.39</v>
      </c>
      <c r="L107">
        <v>-1227.1199999999999</v>
      </c>
      <c r="M107">
        <v>119.26</v>
      </c>
      <c r="N107">
        <v>167.7</v>
      </c>
      <c r="O107">
        <v>33820</v>
      </c>
      <c r="P107">
        <v>0.44700000000000001</v>
      </c>
      <c r="Q107">
        <v>9.5239999999989694E-2</v>
      </c>
      <c r="R107">
        <v>66.885999999999996</v>
      </c>
      <c r="S107">
        <v>7.8444545453239103E-2</v>
      </c>
      <c r="T107">
        <v>9.0209999999998999E-2</v>
      </c>
      <c r="U107" s="1">
        <v>45846</v>
      </c>
      <c r="V107">
        <v>227724600</v>
      </c>
      <c r="W107">
        <v>4</v>
      </c>
      <c r="X107">
        <v>9.6297075000000003</v>
      </c>
      <c r="Y107">
        <v>49.679457499999998</v>
      </c>
      <c r="Z107">
        <v>4.6850000000000003E-2</v>
      </c>
      <c r="AA107">
        <v>480.07</v>
      </c>
      <c r="AB107">
        <v>1124.75</v>
      </c>
      <c r="AC107">
        <v>193.34</v>
      </c>
      <c r="AD107">
        <v>167</v>
      </c>
      <c r="AE107">
        <v>33750</v>
      </c>
      <c r="AF107">
        <v>0.46300000000000002</v>
      </c>
      <c r="AG107">
        <v>9.6295516666999994</v>
      </c>
      <c r="AH107">
        <v>49.679414166699999</v>
      </c>
      <c r="AI107">
        <v>12</v>
      </c>
      <c r="AJ107">
        <v>0.49</v>
      </c>
      <c r="AK107">
        <v>168.9</v>
      </c>
      <c r="AL107">
        <v>227724600</v>
      </c>
      <c r="AM107">
        <v>1.7999999999999999E-2</v>
      </c>
    </row>
    <row r="108" spans="1:39" x14ac:dyDescent="0.25">
      <c r="A108">
        <v>0.41576000000003399</v>
      </c>
      <c r="B108">
        <v>275.13668000000001</v>
      </c>
      <c r="C108">
        <v>0.236427272730451</v>
      </c>
      <c r="D108">
        <v>0.135220000000003</v>
      </c>
      <c r="E108" s="1">
        <v>45846</v>
      </c>
      <c r="F108">
        <v>227724800</v>
      </c>
      <c r="G108">
        <v>4</v>
      </c>
      <c r="H108">
        <v>9.6293816667000005</v>
      </c>
      <c r="I108">
        <v>49.679424166700002</v>
      </c>
      <c r="J108">
        <v>4.6489999999999997E-2</v>
      </c>
      <c r="K108">
        <v>110.34</v>
      </c>
      <c r="L108">
        <v>-1227.51</v>
      </c>
      <c r="M108">
        <v>118.96</v>
      </c>
      <c r="N108">
        <v>167.7</v>
      </c>
      <c r="O108">
        <v>33820</v>
      </c>
      <c r="P108">
        <v>0.64400000000000002</v>
      </c>
      <c r="Q108">
        <v>0.25292999999999199</v>
      </c>
      <c r="R108">
        <v>67.043689999999998</v>
      </c>
      <c r="S108">
        <v>0.260130909093644</v>
      </c>
      <c r="T108">
        <v>0.157690000000002</v>
      </c>
      <c r="U108" s="1">
        <v>45846</v>
      </c>
      <c r="V108">
        <v>227724800</v>
      </c>
      <c r="W108">
        <v>4</v>
      </c>
      <c r="X108">
        <v>9.6297076666999999</v>
      </c>
      <c r="Y108">
        <v>49.679457166699997</v>
      </c>
      <c r="Z108">
        <v>4.6879999999999998E-2</v>
      </c>
      <c r="AA108">
        <v>476.71</v>
      </c>
      <c r="AB108">
        <v>1125.45</v>
      </c>
      <c r="AC108">
        <v>193.38</v>
      </c>
      <c r="AD108">
        <v>167</v>
      </c>
      <c r="AE108">
        <v>33750</v>
      </c>
      <c r="AF108">
        <v>0.66500000000000004</v>
      </c>
      <c r="AG108">
        <v>9.6295516666999994</v>
      </c>
      <c r="AH108">
        <v>49.679414166699999</v>
      </c>
      <c r="AI108">
        <v>12</v>
      </c>
      <c r="AJ108">
        <v>0.49</v>
      </c>
      <c r="AK108">
        <v>168.9</v>
      </c>
      <c r="AL108">
        <v>227724800</v>
      </c>
      <c r="AM108">
        <v>8.9999999999999993E-3</v>
      </c>
    </row>
    <row r="109" spans="1:39" x14ac:dyDescent="0.25">
      <c r="A109">
        <v>0.53780000000000405</v>
      </c>
      <c r="B109">
        <v>275.25871999999998</v>
      </c>
      <c r="C109">
        <v>0.408548484852639</v>
      </c>
      <c r="D109">
        <v>0.12203999999996901</v>
      </c>
      <c r="E109" s="1">
        <v>45846</v>
      </c>
      <c r="F109">
        <v>227725000</v>
      </c>
      <c r="G109">
        <v>4</v>
      </c>
      <c r="H109">
        <v>9.6293814999999991</v>
      </c>
      <c r="I109">
        <v>49.679424500000003</v>
      </c>
      <c r="J109">
        <v>4.6469999999999997E-2</v>
      </c>
      <c r="K109">
        <v>113</v>
      </c>
      <c r="L109">
        <v>-1227.74</v>
      </c>
      <c r="M109">
        <v>119.28</v>
      </c>
      <c r="N109">
        <v>167.7</v>
      </c>
      <c r="O109">
        <v>33820</v>
      </c>
      <c r="P109">
        <v>0.47699999999999998</v>
      </c>
      <c r="Q109">
        <v>0.36012999999999801</v>
      </c>
      <c r="R109">
        <v>67.150890000000004</v>
      </c>
      <c r="S109">
        <v>0.42006606061066498</v>
      </c>
      <c r="T109">
        <v>0.107200000000005</v>
      </c>
      <c r="U109" s="1">
        <v>45846</v>
      </c>
      <c r="V109">
        <v>227725000</v>
      </c>
      <c r="W109">
        <v>4</v>
      </c>
      <c r="X109">
        <v>9.6297076666999999</v>
      </c>
      <c r="Y109">
        <v>49.679456999999999</v>
      </c>
      <c r="Z109">
        <v>4.6890000000000001E-2</v>
      </c>
      <c r="AA109">
        <v>474.52</v>
      </c>
      <c r="AB109">
        <v>1126.1300000000001</v>
      </c>
      <c r="AC109">
        <v>192.89</v>
      </c>
      <c r="AD109">
        <v>167</v>
      </c>
      <c r="AE109">
        <v>33750</v>
      </c>
      <c r="AF109">
        <v>0.4</v>
      </c>
      <c r="AG109">
        <v>9.6295516666999994</v>
      </c>
      <c r="AH109">
        <v>49.679414166699999</v>
      </c>
      <c r="AI109">
        <v>12</v>
      </c>
      <c r="AJ109">
        <v>0.49</v>
      </c>
      <c r="AK109">
        <v>168.9</v>
      </c>
      <c r="AL109">
        <v>227725000</v>
      </c>
      <c r="AM109">
        <v>0.04</v>
      </c>
    </row>
    <row r="110" spans="1:39" x14ac:dyDescent="0.25">
      <c r="A110">
        <v>0.67110000000002401</v>
      </c>
      <c r="B110">
        <v>275.39202</v>
      </c>
      <c r="C110">
        <v>0.54844909090855998</v>
      </c>
      <c r="D110">
        <v>0.13330000000001899</v>
      </c>
      <c r="E110" s="1">
        <v>45846</v>
      </c>
      <c r="F110">
        <v>227725200</v>
      </c>
      <c r="G110">
        <v>4</v>
      </c>
      <c r="H110">
        <v>9.6293814999999991</v>
      </c>
      <c r="I110">
        <v>49.679424833299997</v>
      </c>
      <c r="J110">
        <v>4.6440000000000002E-2</v>
      </c>
      <c r="K110">
        <v>115.92</v>
      </c>
      <c r="L110">
        <v>-1228.18</v>
      </c>
      <c r="M110">
        <v>119.86</v>
      </c>
      <c r="N110">
        <v>167.7</v>
      </c>
      <c r="O110">
        <v>33820</v>
      </c>
      <c r="P110">
        <v>0.59499999999999997</v>
      </c>
      <c r="Q110">
        <v>0.49613999999999697</v>
      </c>
      <c r="R110">
        <v>67.286900000000003</v>
      </c>
      <c r="S110">
        <v>0.544296666666087</v>
      </c>
      <c r="T110">
        <v>0.13600999999999799</v>
      </c>
      <c r="U110" s="1">
        <v>45846</v>
      </c>
      <c r="V110">
        <v>227725200</v>
      </c>
      <c r="W110">
        <v>4</v>
      </c>
      <c r="X110">
        <v>9.6297078332999995</v>
      </c>
      <c r="Y110">
        <v>49.679456666699998</v>
      </c>
      <c r="Z110">
        <v>4.6920000000000003E-2</v>
      </c>
      <c r="AA110">
        <v>471.51</v>
      </c>
      <c r="AB110">
        <v>1126.47</v>
      </c>
      <c r="AC110">
        <v>192.69</v>
      </c>
      <c r="AD110">
        <v>167</v>
      </c>
      <c r="AE110">
        <v>33750</v>
      </c>
      <c r="AF110">
        <v>0.51800000000000002</v>
      </c>
      <c r="AG110">
        <v>9.6295516666999994</v>
      </c>
      <c r="AH110">
        <v>49.679414000000001</v>
      </c>
      <c r="AI110">
        <v>12</v>
      </c>
      <c r="AJ110">
        <v>0.49</v>
      </c>
      <c r="AK110">
        <v>168.9</v>
      </c>
      <c r="AL110">
        <v>227725200</v>
      </c>
      <c r="AM110">
        <v>1.6E-2</v>
      </c>
    </row>
    <row r="111" spans="1:39" x14ac:dyDescent="0.25">
      <c r="A111">
        <v>0.75220000000001597</v>
      </c>
      <c r="B111">
        <v>275.47311999999999</v>
      </c>
      <c r="C111">
        <v>0.61988424239240003</v>
      </c>
      <c r="D111">
        <v>8.1099999999992095E-2</v>
      </c>
      <c r="E111" s="1">
        <v>45846</v>
      </c>
      <c r="F111">
        <v>227725400</v>
      </c>
      <c r="G111">
        <v>4</v>
      </c>
      <c r="H111">
        <v>9.6293814999999991</v>
      </c>
      <c r="I111">
        <v>49.679425000000002</v>
      </c>
      <c r="J111">
        <v>4.6429999999999999E-2</v>
      </c>
      <c r="K111">
        <v>117.7</v>
      </c>
      <c r="L111">
        <v>-1228.42</v>
      </c>
      <c r="M111">
        <v>120.32</v>
      </c>
      <c r="N111">
        <v>167.7</v>
      </c>
      <c r="O111">
        <v>33820</v>
      </c>
      <c r="P111">
        <v>9.8000000000000004E-2</v>
      </c>
      <c r="Q111">
        <v>0.53280999999999701</v>
      </c>
      <c r="R111">
        <v>67.323570000000004</v>
      </c>
      <c r="S111">
        <v>0.58364575754988901</v>
      </c>
      <c r="T111">
        <v>3.6670000000000799E-2</v>
      </c>
      <c r="U111" s="1">
        <v>45846</v>
      </c>
      <c r="V111">
        <v>227725400</v>
      </c>
      <c r="W111">
        <v>4</v>
      </c>
      <c r="X111">
        <v>9.6297078332999995</v>
      </c>
      <c r="Y111">
        <v>49.679456666699998</v>
      </c>
      <c r="Z111">
        <v>4.6920000000000003E-2</v>
      </c>
      <c r="AA111">
        <v>470.75</v>
      </c>
      <c r="AB111">
        <v>1126.67</v>
      </c>
      <c r="AC111">
        <v>191.95</v>
      </c>
      <c r="AD111">
        <v>167</v>
      </c>
      <c r="AE111">
        <v>33750</v>
      </c>
      <c r="AF111">
        <v>1.4999999999999999E-2</v>
      </c>
      <c r="AG111">
        <v>9.6295516666999994</v>
      </c>
      <c r="AH111">
        <v>49.679414000000001</v>
      </c>
      <c r="AI111">
        <v>12</v>
      </c>
      <c r="AJ111">
        <v>0.49</v>
      </c>
      <c r="AK111">
        <v>168.9</v>
      </c>
      <c r="AL111">
        <v>227725400</v>
      </c>
      <c r="AM111">
        <v>8.9999999999999993E-3</v>
      </c>
    </row>
    <row r="112" spans="1:39" x14ac:dyDescent="0.25">
      <c r="A112">
        <v>0.67932000000001802</v>
      </c>
      <c r="B112">
        <v>275.40024</v>
      </c>
      <c r="C112">
        <v>0.59105090907731295</v>
      </c>
      <c r="D112">
        <v>-7.2879999999997794E-2</v>
      </c>
      <c r="E112" s="1">
        <v>45846</v>
      </c>
      <c r="F112">
        <v>227725600</v>
      </c>
      <c r="G112">
        <v>4</v>
      </c>
      <c r="H112">
        <v>9.6293814999999991</v>
      </c>
      <c r="I112">
        <v>49.679424500000003</v>
      </c>
      <c r="J112">
        <v>4.6440000000000002E-2</v>
      </c>
      <c r="K112">
        <v>116.1</v>
      </c>
      <c r="L112">
        <v>-1228.19</v>
      </c>
      <c r="M112">
        <v>120.91</v>
      </c>
      <c r="N112">
        <v>167.7</v>
      </c>
      <c r="O112">
        <v>33820</v>
      </c>
      <c r="P112">
        <v>0.26800000000000002</v>
      </c>
      <c r="Q112">
        <v>0.46179999999999599</v>
      </c>
      <c r="R112">
        <v>67.252560000000003</v>
      </c>
      <c r="S112">
        <v>0.51987606059508396</v>
      </c>
      <c r="T112">
        <v>-7.10100000000011E-2</v>
      </c>
      <c r="U112" s="1">
        <v>45846</v>
      </c>
      <c r="V112">
        <v>227725600</v>
      </c>
      <c r="W112">
        <v>4</v>
      </c>
      <c r="X112">
        <v>9.6297076666999999</v>
      </c>
      <c r="Y112">
        <v>49.679456500000001</v>
      </c>
      <c r="Z112">
        <v>4.691E-2</v>
      </c>
      <c r="AA112">
        <v>472.23</v>
      </c>
      <c r="AB112">
        <v>1126.29</v>
      </c>
      <c r="AC112">
        <v>192.28</v>
      </c>
      <c r="AD112">
        <v>167</v>
      </c>
      <c r="AE112">
        <v>33750</v>
      </c>
      <c r="AF112">
        <v>0.32400000000000001</v>
      </c>
      <c r="AG112">
        <v>9.6295514999999998</v>
      </c>
      <c r="AH112">
        <v>49.679414000000001</v>
      </c>
      <c r="AI112">
        <v>12</v>
      </c>
      <c r="AJ112">
        <v>0.49</v>
      </c>
      <c r="AK112">
        <v>168.9</v>
      </c>
      <c r="AL112">
        <v>227725600</v>
      </c>
      <c r="AM112">
        <v>8.0000000000000002E-3</v>
      </c>
    </row>
    <row r="113" spans="1:39" x14ac:dyDescent="0.25">
      <c r="A113">
        <v>0.54718000000002498</v>
      </c>
      <c r="B113">
        <v>275.2681</v>
      </c>
      <c r="C113">
        <v>0.472256363610003</v>
      </c>
      <c r="D113">
        <v>-0.13213999999999201</v>
      </c>
      <c r="E113" s="1">
        <v>45846</v>
      </c>
      <c r="F113">
        <v>227725800</v>
      </c>
      <c r="G113">
        <v>4</v>
      </c>
      <c r="H113">
        <v>9.6293814999999991</v>
      </c>
      <c r="I113">
        <v>49.679424333299998</v>
      </c>
      <c r="J113">
        <v>4.6460000000000001E-2</v>
      </c>
      <c r="K113">
        <v>113.23</v>
      </c>
      <c r="L113">
        <v>-1228</v>
      </c>
      <c r="M113">
        <v>121.21</v>
      </c>
      <c r="N113">
        <v>167.7</v>
      </c>
      <c r="O113">
        <v>33810</v>
      </c>
      <c r="P113">
        <v>0.64500000000000002</v>
      </c>
      <c r="Q113">
        <v>0.33560999999998797</v>
      </c>
      <c r="R113">
        <v>67.126369999999994</v>
      </c>
      <c r="S113">
        <v>0.39524181815989801</v>
      </c>
      <c r="T113">
        <v>-0.12619000000000799</v>
      </c>
      <c r="U113" s="1">
        <v>45846</v>
      </c>
      <c r="V113">
        <v>227725800</v>
      </c>
      <c r="W113">
        <v>4</v>
      </c>
      <c r="X113">
        <v>9.6297076666999999</v>
      </c>
      <c r="Y113">
        <v>49.679456833300002</v>
      </c>
      <c r="Z113">
        <v>4.6890000000000001E-2</v>
      </c>
      <c r="AA113">
        <v>474.98</v>
      </c>
      <c r="AB113">
        <v>1125.8800000000001</v>
      </c>
      <c r="AC113">
        <v>192.51</v>
      </c>
      <c r="AD113">
        <v>167</v>
      </c>
      <c r="AE113">
        <v>33740</v>
      </c>
      <c r="AF113">
        <v>0.35499999999999998</v>
      </c>
      <c r="AG113">
        <v>9.6295514999999998</v>
      </c>
      <c r="AH113">
        <v>49.679413833300003</v>
      </c>
      <c r="AI113">
        <v>12</v>
      </c>
      <c r="AJ113">
        <v>0.49</v>
      </c>
      <c r="AK113">
        <v>168.8</v>
      </c>
      <c r="AL113">
        <v>227725800</v>
      </c>
      <c r="AM113">
        <v>8.2000000000000003E-2</v>
      </c>
    </row>
    <row r="114" spans="1:39" x14ac:dyDescent="0.25">
      <c r="A114">
        <v>0.41027999999999998</v>
      </c>
      <c r="B114">
        <v>275.13119999999998</v>
      </c>
      <c r="C114">
        <v>0.30018848484732302</v>
      </c>
      <c r="D114">
        <v>-0.136900000000025</v>
      </c>
      <c r="E114" s="1">
        <v>45846</v>
      </c>
      <c r="F114">
        <v>227726000</v>
      </c>
      <c r="G114">
        <v>4</v>
      </c>
      <c r="H114">
        <v>9.6293816667000005</v>
      </c>
      <c r="I114">
        <v>49.679423999999997</v>
      </c>
      <c r="J114">
        <v>4.6489999999999997E-2</v>
      </c>
      <c r="K114">
        <v>110.23</v>
      </c>
      <c r="L114">
        <v>-1227.55</v>
      </c>
      <c r="M114">
        <v>121.37</v>
      </c>
      <c r="N114">
        <v>167.7</v>
      </c>
      <c r="O114">
        <v>33820</v>
      </c>
      <c r="P114">
        <v>0.40100000000000002</v>
      </c>
      <c r="Q114">
        <v>0.268919999999994</v>
      </c>
      <c r="R114">
        <v>67.05968</v>
      </c>
      <c r="S114">
        <v>0.25885030302814999</v>
      </c>
      <c r="T114">
        <v>-6.6689999999994101E-2</v>
      </c>
      <c r="U114" s="1">
        <v>45846</v>
      </c>
      <c r="V114">
        <v>227726000</v>
      </c>
      <c r="W114">
        <v>4</v>
      </c>
      <c r="X114">
        <v>9.6297076666999999</v>
      </c>
      <c r="Y114">
        <v>49.679456833300002</v>
      </c>
      <c r="Z114">
        <v>4.6879999999999998E-2</v>
      </c>
      <c r="AA114">
        <v>476.35</v>
      </c>
      <c r="AB114">
        <v>1125.47</v>
      </c>
      <c r="AC114">
        <v>192.82</v>
      </c>
      <c r="AD114">
        <v>167</v>
      </c>
      <c r="AE114">
        <v>33750</v>
      </c>
      <c r="AF114">
        <v>0.29199999999999998</v>
      </c>
      <c r="AG114">
        <v>9.6295514999999998</v>
      </c>
      <c r="AH114">
        <v>49.679413833300003</v>
      </c>
      <c r="AI114">
        <v>12</v>
      </c>
      <c r="AJ114">
        <v>0.49</v>
      </c>
      <c r="AK114">
        <v>168.9</v>
      </c>
      <c r="AL114">
        <v>227726000</v>
      </c>
      <c r="AM114">
        <v>1.2E-2</v>
      </c>
    </row>
    <row r="115" spans="1:39" x14ac:dyDescent="0.25">
      <c r="A115">
        <v>0.33340000000004</v>
      </c>
      <c r="B115">
        <v>275.05432000000002</v>
      </c>
      <c r="C115">
        <v>0.111753939391911</v>
      </c>
      <c r="D115">
        <v>-7.6879999999960105E-2</v>
      </c>
      <c r="E115" s="1">
        <v>45846</v>
      </c>
      <c r="F115">
        <v>227726200</v>
      </c>
      <c r="G115">
        <v>4</v>
      </c>
      <c r="H115">
        <v>9.6293816667000005</v>
      </c>
      <c r="I115">
        <v>49.6794238333</v>
      </c>
      <c r="J115">
        <v>4.65E-2</v>
      </c>
      <c r="K115">
        <v>108.55</v>
      </c>
      <c r="L115">
        <v>-1227.32</v>
      </c>
      <c r="M115">
        <v>121.18</v>
      </c>
      <c r="N115">
        <v>167.7</v>
      </c>
      <c r="O115">
        <v>33820</v>
      </c>
      <c r="P115">
        <v>0.35</v>
      </c>
      <c r="Q115">
        <v>0.169869999999988</v>
      </c>
      <c r="R115">
        <v>66.960629999999995</v>
      </c>
      <c r="S115">
        <v>0.104678787877139</v>
      </c>
      <c r="T115">
        <v>-9.9050000000005398E-2</v>
      </c>
      <c r="U115" s="1">
        <v>45846</v>
      </c>
      <c r="V115">
        <v>227726200</v>
      </c>
      <c r="W115">
        <v>4</v>
      </c>
      <c r="X115">
        <v>9.6297075000000003</v>
      </c>
      <c r="Y115">
        <v>49.679457166699997</v>
      </c>
      <c r="Z115">
        <v>4.6879999999999998E-2</v>
      </c>
      <c r="AA115">
        <v>478.35</v>
      </c>
      <c r="AB115">
        <v>1124.76</v>
      </c>
      <c r="AC115">
        <v>193.01</v>
      </c>
      <c r="AD115">
        <v>167</v>
      </c>
      <c r="AE115">
        <v>33750</v>
      </c>
      <c r="AF115">
        <v>0.41699999999999998</v>
      </c>
      <c r="AG115">
        <v>9.6295514999999998</v>
      </c>
      <c r="AH115">
        <v>49.679413833300003</v>
      </c>
      <c r="AI115">
        <v>12</v>
      </c>
      <c r="AJ115">
        <v>0.49</v>
      </c>
      <c r="AK115">
        <v>168.9</v>
      </c>
      <c r="AL115">
        <v>227726200</v>
      </c>
      <c r="AM115">
        <v>4.3999999999999997E-2</v>
      </c>
    </row>
    <row r="116" spans="1:39" x14ac:dyDescent="0.25">
      <c r="A116">
        <v>0.23786000000001101</v>
      </c>
      <c r="B116">
        <v>274.95877999999999</v>
      </c>
      <c r="C116">
        <v>-6.1905454544708999E-2</v>
      </c>
      <c r="D116">
        <v>-9.5540000000028102E-2</v>
      </c>
      <c r="E116" s="1">
        <v>45846</v>
      </c>
      <c r="F116">
        <v>227726400</v>
      </c>
      <c r="G116">
        <v>4</v>
      </c>
      <c r="H116">
        <v>9.6293816667000005</v>
      </c>
      <c r="I116">
        <v>49.679423666700004</v>
      </c>
      <c r="J116">
        <v>4.6519999999999999E-2</v>
      </c>
      <c r="K116">
        <v>106.46</v>
      </c>
      <c r="L116">
        <v>-1227.04</v>
      </c>
      <c r="M116">
        <v>121.22</v>
      </c>
      <c r="N116">
        <v>167.7</v>
      </c>
      <c r="O116">
        <v>33820</v>
      </c>
      <c r="P116">
        <v>0.35299999999999998</v>
      </c>
      <c r="Q116">
        <v>5.4329999999993099E-2</v>
      </c>
      <c r="R116">
        <v>66.845089999999999</v>
      </c>
      <c r="S116">
        <v>-5.9341212120197703E-2</v>
      </c>
      <c r="T116">
        <v>-0.11553999999999499</v>
      </c>
      <c r="U116" s="1">
        <v>45846</v>
      </c>
      <c r="V116">
        <v>227726400</v>
      </c>
      <c r="W116">
        <v>4</v>
      </c>
      <c r="X116">
        <v>9.6297075000000003</v>
      </c>
      <c r="Y116">
        <v>49.6794573333</v>
      </c>
      <c r="Z116">
        <v>4.6850000000000003E-2</v>
      </c>
      <c r="AA116">
        <v>480.94</v>
      </c>
      <c r="AB116">
        <v>1124.56</v>
      </c>
      <c r="AC116">
        <v>193.11</v>
      </c>
      <c r="AD116">
        <v>167</v>
      </c>
      <c r="AE116">
        <v>33750</v>
      </c>
      <c r="AF116">
        <v>0.44500000000000001</v>
      </c>
      <c r="AG116">
        <v>9.6295514999999998</v>
      </c>
      <c r="AH116">
        <v>49.6794136667</v>
      </c>
      <c r="AI116">
        <v>12</v>
      </c>
      <c r="AJ116">
        <v>0.49</v>
      </c>
      <c r="AK116">
        <v>168.9</v>
      </c>
      <c r="AL116">
        <v>227726400</v>
      </c>
      <c r="AM116">
        <v>3.5000000000000003E-2</v>
      </c>
    </row>
    <row r="117" spans="1:39" x14ac:dyDescent="0.25">
      <c r="A117">
        <v>0.165500000000008</v>
      </c>
      <c r="B117">
        <v>274.88641999999999</v>
      </c>
      <c r="C117">
        <v>-0.21813090908147201</v>
      </c>
      <c r="D117">
        <v>-7.2360000000003297E-2</v>
      </c>
      <c r="E117" s="1">
        <v>45846</v>
      </c>
      <c r="F117">
        <v>227726600</v>
      </c>
      <c r="G117">
        <v>4</v>
      </c>
      <c r="H117">
        <v>9.6293816667000005</v>
      </c>
      <c r="I117">
        <v>49.679423333300001</v>
      </c>
      <c r="J117">
        <v>4.6539999999999998E-2</v>
      </c>
      <c r="K117">
        <v>104.87</v>
      </c>
      <c r="L117">
        <v>-1226.6600000000001</v>
      </c>
      <c r="M117">
        <v>120.72</v>
      </c>
      <c r="N117">
        <v>167.6</v>
      </c>
      <c r="O117">
        <v>33800</v>
      </c>
      <c r="P117">
        <v>0.27</v>
      </c>
      <c r="Q117">
        <v>-4.6170000000003597E-2</v>
      </c>
      <c r="R117">
        <v>66.744590000000002</v>
      </c>
      <c r="S117">
        <v>-0.223688181808889</v>
      </c>
      <c r="T117">
        <v>-0.100499999999996</v>
      </c>
      <c r="U117" s="1">
        <v>45846</v>
      </c>
      <c r="V117">
        <v>227726600</v>
      </c>
      <c r="W117">
        <v>4</v>
      </c>
      <c r="X117">
        <v>9.6297073333000007</v>
      </c>
      <c r="Y117">
        <v>49.6794573333</v>
      </c>
      <c r="Z117">
        <v>4.6809999999999997E-2</v>
      </c>
      <c r="AA117">
        <v>483.25</v>
      </c>
      <c r="AB117">
        <v>1124.49</v>
      </c>
      <c r="AC117">
        <v>193.4</v>
      </c>
      <c r="AD117">
        <v>166.9</v>
      </c>
      <c r="AE117">
        <v>33740</v>
      </c>
      <c r="AF117">
        <v>0.30499999999999999</v>
      </c>
      <c r="AG117">
        <v>9.6295514999999998</v>
      </c>
      <c r="AH117">
        <v>49.6794136667</v>
      </c>
      <c r="AI117">
        <v>12</v>
      </c>
      <c r="AJ117">
        <v>0.49</v>
      </c>
      <c r="AK117">
        <v>168.8</v>
      </c>
      <c r="AL117">
        <v>227726600</v>
      </c>
      <c r="AM117">
        <v>6.0000000000000001E-3</v>
      </c>
    </row>
    <row r="118" spans="1:39" x14ac:dyDescent="0.25">
      <c r="A118">
        <v>6.8140000000027998E-2</v>
      </c>
      <c r="B118">
        <v>274.78906000000001</v>
      </c>
      <c r="C118">
        <v>-0.348863636331537</v>
      </c>
      <c r="D118">
        <v>-9.7359999999980504E-2</v>
      </c>
      <c r="E118" s="1">
        <v>45846</v>
      </c>
      <c r="F118">
        <v>227726800</v>
      </c>
      <c r="G118">
        <v>4</v>
      </c>
      <c r="H118">
        <v>9.6293816667000005</v>
      </c>
      <c r="I118">
        <v>49.679423166699998</v>
      </c>
      <c r="J118">
        <v>4.6559999999999997E-2</v>
      </c>
      <c r="K118">
        <v>102.75</v>
      </c>
      <c r="L118">
        <v>-1226.4100000000001</v>
      </c>
      <c r="M118">
        <v>120.11</v>
      </c>
      <c r="N118">
        <v>167.6</v>
      </c>
      <c r="O118">
        <v>33800</v>
      </c>
      <c r="P118">
        <v>0.433</v>
      </c>
      <c r="Q118">
        <v>-9.4599999999999698E-2</v>
      </c>
      <c r="R118">
        <v>66.696160000000006</v>
      </c>
      <c r="S118">
        <v>-0.34010969693888199</v>
      </c>
      <c r="T118">
        <v>-4.8429999999996198E-2</v>
      </c>
      <c r="U118" s="1">
        <v>45846</v>
      </c>
      <c r="V118">
        <v>227726800</v>
      </c>
      <c r="W118">
        <v>4</v>
      </c>
      <c r="X118">
        <v>9.6297073333000007</v>
      </c>
      <c r="Y118">
        <v>49.6794573333</v>
      </c>
      <c r="Z118">
        <v>4.6809999999999997E-2</v>
      </c>
      <c r="AA118">
        <v>484.19</v>
      </c>
      <c r="AB118">
        <v>1124.07</v>
      </c>
      <c r="AC118">
        <v>193.44</v>
      </c>
      <c r="AD118">
        <v>166.9</v>
      </c>
      <c r="AE118">
        <v>33730</v>
      </c>
      <c r="AF118">
        <v>0.41</v>
      </c>
      <c r="AG118">
        <v>9.6295514999999998</v>
      </c>
      <c r="AH118">
        <v>49.6794136667</v>
      </c>
      <c r="AI118">
        <v>12</v>
      </c>
      <c r="AJ118">
        <v>0.49</v>
      </c>
      <c r="AK118">
        <v>168.8</v>
      </c>
      <c r="AL118">
        <v>227726800</v>
      </c>
      <c r="AM118">
        <v>0.05</v>
      </c>
    </row>
    <row r="119" spans="1:39" x14ac:dyDescent="0.25">
      <c r="A119">
        <v>-2.2499999999979502E-2</v>
      </c>
      <c r="B119">
        <v>274.69842</v>
      </c>
      <c r="C119">
        <v>-0.44256848483632599</v>
      </c>
      <c r="D119">
        <v>-9.0640000000007603E-2</v>
      </c>
      <c r="E119" s="1">
        <v>45846</v>
      </c>
      <c r="F119">
        <v>227727000</v>
      </c>
      <c r="G119">
        <v>4</v>
      </c>
      <c r="H119">
        <v>9.6293816667000005</v>
      </c>
      <c r="I119">
        <v>49.679423</v>
      </c>
      <c r="J119">
        <v>4.6580000000000003E-2</v>
      </c>
      <c r="K119">
        <v>100.76</v>
      </c>
      <c r="L119">
        <v>-1225.94</v>
      </c>
      <c r="M119">
        <v>119.39</v>
      </c>
      <c r="N119">
        <v>167.7</v>
      </c>
      <c r="O119">
        <v>33810</v>
      </c>
      <c r="P119">
        <v>0.23499999999999999</v>
      </c>
      <c r="Q119">
        <v>-0.13845000000000501</v>
      </c>
      <c r="R119">
        <v>66.65231</v>
      </c>
      <c r="S119">
        <v>-0.41169454544385597</v>
      </c>
      <c r="T119">
        <v>-4.3850000000006099E-2</v>
      </c>
      <c r="U119" s="1">
        <v>45846</v>
      </c>
      <c r="V119">
        <v>227727000</v>
      </c>
      <c r="W119">
        <v>4</v>
      </c>
      <c r="X119">
        <v>9.6297073333000007</v>
      </c>
      <c r="Y119">
        <v>49.679457499999998</v>
      </c>
      <c r="Z119">
        <v>4.6809999999999997E-2</v>
      </c>
      <c r="AA119">
        <v>485.13</v>
      </c>
      <c r="AB119">
        <v>1123.8699999999999</v>
      </c>
      <c r="AC119">
        <v>194.03</v>
      </c>
      <c r="AD119">
        <v>166.9</v>
      </c>
      <c r="AE119">
        <v>33730</v>
      </c>
      <c r="AF119">
        <v>0.111</v>
      </c>
      <c r="AG119">
        <v>9.6295514999999998</v>
      </c>
      <c r="AH119">
        <v>49.679413500000003</v>
      </c>
      <c r="AI119">
        <v>12</v>
      </c>
      <c r="AJ119">
        <v>0.49</v>
      </c>
      <c r="AK119">
        <v>168.8</v>
      </c>
      <c r="AL119">
        <v>227727000</v>
      </c>
      <c r="AM119">
        <v>5.0000000000000001E-3</v>
      </c>
    </row>
    <row r="120" spans="1:39" x14ac:dyDescent="0.25">
      <c r="A120">
        <v>-8.3439999999995906E-2</v>
      </c>
      <c r="B120">
        <v>274.63747999999998</v>
      </c>
      <c r="C120">
        <v>-0.47450242425901701</v>
      </c>
      <c r="D120">
        <v>-6.0940000000016398E-2</v>
      </c>
      <c r="E120" s="1">
        <v>45846</v>
      </c>
      <c r="F120">
        <v>227727200</v>
      </c>
      <c r="G120">
        <v>4</v>
      </c>
      <c r="H120">
        <v>9.6293816667000005</v>
      </c>
      <c r="I120">
        <v>49.679422833300002</v>
      </c>
      <c r="J120">
        <v>4.6589999999999999E-2</v>
      </c>
      <c r="K120">
        <v>99.43</v>
      </c>
      <c r="L120">
        <v>-1225.8</v>
      </c>
      <c r="M120">
        <v>119.06</v>
      </c>
      <c r="N120">
        <v>167.7</v>
      </c>
      <c r="O120">
        <v>33810</v>
      </c>
      <c r="P120">
        <v>0.255</v>
      </c>
      <c r="Q120">
        <v>-0.21569000000000901</v>
      </c>
      <c r="R120">
        <v>66.575069999999997</v>
      </c>
      <c r="S120">
        <v>-0.42879121213578703</v>
      </c>
      <c r="T120">
        <v>-7.7240000000003195E-2</v>
      </c>
      <c r="U120" s="1">
        <v>45846</v>
      </c>
      <c r="V120">
        <v>227727200</v>
      </c>
      <c r="W120">
        <v>4</v>
      </c>
      <c r="X120">
        <v>9.6297071666999994</v>
      </c>
      <c r="Y120">
        <v>49.679457666700003</v>
      </c>
      <c r="Z120">
        <v>4.6789999999999998E-2</v>
      </c>
      <c r="AA120">
        <v>486.83</v>
      </c>
      <c r="AB120">
        <v>1123.6500000000001</v>
      </c>
      <c r="AC120">
        <v>194.28</v>
      </c>
      <c r="AD120">
        <v>166.9</v>
      </c>
      <c r="AE120">
        <v>33730</v>
      </c>
      <c r="AF120">
        <v>0.32300000000000001</v>
      </c>
      <c r="AG120">
        <v>9.6295513333000002</v>
      </c>
      <c r="AH120">
        <v>49.679413500000003</v>
      </c>
      <c r="AI120">
        <v>12</v>
      </c>
      <c r="AJ120">
        <v>0.49</v>
      </c>
      <c r="AK120">
        <v>168.8</v>
      </c>
      <c r="AL120">
        <v>227727200</v>
      </c>
      <c r="AM120">
        <v>1.0999999999999999E-2</v>
      </c>
    </row>
    <row r="121" spans="1:39" x14ac:dyDescent="0.25">
      <c r="A121">
        <v>-0.11563999999998401</v>
      </c>
      <c r="B121">
        <v>274.60527999999999</v>
      </c>
      <c r="C121">
        <v>-0.44245515148590697</v>
      </c>
      <c r="D121">
        <v>-3.2199999999988897E-2</v>
      </c>
      <c r="E121" s="1">
        <v>45846</v>
      </c>
      <c r="F121">
        <v>227727400</v>
      </c>
      <c r="G121">
        <v>4</v>
      </c>
      <c r="H121">
        <v>9.6293816667000005</v>
      </c>
      <c r="I121">
        <v>49.679422500000001</v>
      </c>
      <c r="J121">
        <v>4.6589999999999999E-2</v>
      </c>
      <c r="K121">
        <v>98.75</v>
      </c>
      <c r="L121">
        <v>-1225.93</v>
      </c>
      <c r="M121">
        <v>118.53</v>
      </c>
      <c r="N121">
        <v>167.7</v>
      </c>
      <c r="O121">
        <v>33810</v>
      </c>
      <c r="P121">
        <v>8.4000000000000005E-2</v>
      </c>
      <c r="Q121">
        <v>-0.29785000000001099</v>
      </c>
      <c r="R121">
        <v>66.492909999999995</v>
      </c>
      <c r="S121">
        <v>-0.41293060603170301</v>
      </c>
      <c r="T121">
        <v>-8.2160000000001704E-2</v>
      </c>
      <c r="U121" s="1">
        <v>45846</v>
      </c>
      <c r="V121">
        <v>227727400</v>
      </c>
      <c r="W121">
        <v>4</v>
      </c>
      <c r="X121">
        <v>9.6297071666999994</v>
      </c>
      <c r="Y121">
        <v>49.679457833299999</v>
      </c>
      <c r="Z121">
        <v>4.6769999999999999E-2</v>
      </c>
      <c r="AA121">
        <v>488.6</v>
      </c>
      <c r="AB121">
        <v>1123.31</v>
      </c>
      <c r="AC121">
        <v>195.38</v>
      </c>
      <c r="AD121">
        <v>166.9</v>
      </c>
      <c r="AE121">
        <v>33730</v>
      </c>
      <c r="AF121">
        <v>0.157</v>
      </c>
      <c r="AG121">
        <v>9.6295513333000002</v>
      </c>
      <c r="AH121">
        <v>49.679413500000003</v>
      </c>
      <c r="AI121">
        <v>12</v>
      </c>
      <c r="AJ121">
        <v>0.49</v>
      </c>
      <c r="AK121">
        <v>168.8</v>
      </c>
      <c r="AL121">
        <v>227727400</v>
      </c>
      <c r="AM121">
        <v>2.8000000000000001E-2</v>
      </c>
    </row>
    <row r="122" spans="1:39" x14ac:dyDescent="0.25">
      <c r="A122">
        <v>-0.133459999999956</v>
      </c>
      <c r="B122">
        <v>274.58746000000002</v>
      </c>
      <c r="C122">
        <v>-0.38696484847127199</v>
      </c>
      <c r="D122">
        <v>-1.78199999999719E-2</v>
      </c>
      <c r="E122" s="1">
        <v>45846</v>
      </c>
      <c r="F122">
        <v>227727600</v>
      </c>
      <c r="G122">
        <v>4</v>
      </c>
      <c r="H122">
        <v>9.6293816667000005</v>
      </c>
      <c r="I122">
        <v>49.679422500000001</v>
      </c>
      <c r="J122">
        <v>4.6589999999999999E-2</v>
      </c>
      <c r="K122">
        <v>98.35</v>
      </c>
      <c r="L122">
        <v>-1225.79</v>
      </c>
      <c r="M122">
        <v>117.73</v>
      </c>
      <c r="N122">
        <v>167.7</v>
      </c>
      <c r="O122">
        <v>33810</v>
      </c>
      <c r="P122">
        <v>0.10100000000000001</v>
      </c>
      <c r="Q122">
        <v>-0.334210000000013</v>
      </c>
      <c r="R122">
        <v>66.456549999999993</v>
      </c>
      <c r="S122">
        <v>-0.38031333331825001</v>
      </c>
      <c r="T122">
        <v>-3.6360000000001898E-2</v>
      </c>
      <c r="U122" s="1">
        <v>45846</v>
      </c>
      <c r="V122">
        <v>227727600</v>
      </c>
      <c r="W122">
        <v>4</v>
      </c>
      <c r="X122">
        <v>9.6297069999999998</v>
      </c>
      <c r="Y122">
        <v>49.679457499999998</v>
      </c>
      <c r="Z122">
        <v>4.6780000000000002E-2</v>
      </c>
      <c r="AA122">
        <v>489.27</v>
      </c>
      <c r="AB122">
        <v>1122.92</v>
      </c>
      <c r="AC122">
        <v>195.64</v>
      </c>
      <c r="AD122">
        <v>166.9</v>
      </c>
      <c r="AE122">
        <v>33730</v>
      </c>
      <c r="AF122">
        <v>6.8000000000000005E-2</v>
      </c>
      <c r="AG122">
        <v>9.6295513333000002</v>
      </c>
      <c r="AH122">
        <v>49.679413333299998</v>
      </c>
      <c r="AI122">
        <v>12</v>
      </c>
      <c r="AJ122">
        <v>0.49</v>
      </c>
      <c r="AK122">
        <v>168.8</v>
      </c>
      <c r="AL122">
        <v>227727600</v>
      </c>
      <c r="AM122">
        <v>3.2000000000000001E-2</v>
      </c>
    </row>
    <row r="123" spans="1:39" x14ac:dyDescent="0.25">
      <c r="A123">
        <v>-0.124639999999999</v>
      </c>
      <c r="B123">
        <v>274.59627999999998</v>
      </c>
      <c r="C123">
        <v>-0.32385636361860598</v>
      </c>
      <c r="D123">
        <v>8.8199999999574105E-3</v>
      </c>
      <c r="E123" s="1">
        <v>45846</v>
      </c>
      <c r="F123">
        <v>227727800</v>
      </c>
      <c r="G123">
        <v>4</v>
      </c>
      <c r="H123">
        <v>9.6293816667000005</v>
      </c>
      <c r="I123">
        <v>49.679422500000001</v>
      </c>
      <c r="J123">
        <v>4.6589999999999999E-2</v>
      </c>
      <c r="K123">
        <v>98.54</v>
      </c>
      <c r="L123">
        <v>-1225.73</v>
      </c>
      <c r="M123">
        <v>117.5</v>
      </c>
      <c r="N123">
        <v>167.7</v>
      </c>
      <c r="O123">
        <v>33810</v>
      </c>
      <c r="P123">
        <v>3.5000000000000003E-2</v>
      </c>
      <c r="Q123">
        <v>-0.34438000000000102</v>
      </c>
      <c r="R123">
        <v>66.446380000000005</v>
      </c>
      <c r="S123">
        <v>-0.34428999998144699</v>
      </c>
      <c r="T123">
        <v>-1.0169999999987999E-2</v>
      </c>
      <c r="U123" s="1">
        <v>45846</v>
      </c>
      <c r="V123">
        <v>227727800</v>
      </c>
      <c r="W123">
        <v>4</v>
      </c>
      <c r="X123">
        <v>9.6297069999999998</v>
      </c>
      <c r="Y123">
        <v>49.679457499999998</v>
      </c>
      <c r="Z123">
        <v>4.6769999999999999E-2</v>
      </c>
      <c r="AA123">
        <v>489.54</v>
      </c>
      <c r="AB123">
        <v>1122.99</v>
      </c>
      <c r="AC123">
        <v>196.67</v>
      </c>
      <c r="AD123">
        <v>166.9</v>
      </c>
      <c r="AE123">
        <v>33730</v>
      </c>
      <c r="AF123">
        <v>0.10100000000000001</v>
      </c>
      <c r="AG123">
        <v>9.6295513333000002</v>
      </c>
      <c r="AH123">
        <v>49.679413333299998</v>
      </c>
      <c r="AI123">
        <v>12</v>
      </c>
      <c r="AJ123">
        <v>0.49</v>
      </c>
      <c r="AK123">
        <v>168.8</v>
      </c>
      <c r="AL123">
        <v>227727800</v>
      </c>
      <c r="AM123">
        <v>6.0999999999999999E-2</v>
      </c>
    </row>
    <row r="124" spans="1:39" x14ac:dyDescent="0.25">
      <c r="A124">
        <v>-0.10208</v>
      </c>
      <c r="B124">
        <v>274.61883999999998</v>
      </c>
      <c r="C124">
        <v>-0.259512121200212</v>
      </c>
      <c r="D124">
        <v>2.2559999999998501E-2</v>
      </c>
      <c r="E124" s="1">
        <v>45846</v>
      </c>
      <c r="F124">
        <v>227728000</v>
      </c>
      <c r="G124">
        <v>4</v>
      </c>
      <c r="H124">
        <v>9.6293814999999991</v>
      </c>
      <c r="I124">
        <v>49.679422333300003</v>
      </c>
      <c r="J124">
        <v>4.6580000000000003E-2</v>
      </c>
      <c r="K124">
        <v>99.04</v>
      </c>
      <c r="L124">
        <v>-1225.94</v>
      </c>
      <c r="M124">
        <v>116.92</v>
      </c>
      <c r="N124">
        <v>167.6</v>
      </c>
      <c r="O124">
        <v>33800</v>
      </c>
      <c r="P124">
        <v>4.9000000000000002E-2</v>
      </c>
      <c r="Q124">
        <v>-0.27012000000000502</v>
      </c>
      <c r="R124">
        <v>66.52064</v>
      </c>
      <c r="S124">
        <v>-0.26903242422941698</v>
      </c>
      <c r="T124">
        <v>7.4259999999995302E-2</v>
      </c>
      <c r="U124" s="1">
        <v>45846</v>
      </c>
      <c r="V124">
        <v>227728000</v>
      </c>
      <c r="W124">
        <v>4</v>
      </c>
      <c r="X124">
        <v>9.6297069999999998</v>
      </c>
      <c r="Y124">
        <v>49.679457166699997</v>
      </c>
      <c r="Z124">
        <v>4.6800000000000001E-2</v>
      </c>
      <c r="AA124">
        <v>487.82</v>
      </c>
      <c r="AB124">
        <v>1123.02</v>
      </c>
      <c r="AC124">
        <v>195.86</v>
      </c>
      <c r="AD124">
        <v>166.8</v>
      </c>
      <c r="AE124">
        <v>33720</v>
      </c>
      <c r="AF124">
        <v>0.152</v>
      </c>
      <c r="AG124">
        <v>9.6295513333000002</v>
      </c>
      <c r="AH124">
        <v>49.679413333299998</v>
      </c>
      <c r="AI124">
        <v>12</v>
      </c>
      <c r="AJ124">
        <v>0.49</v>
      </c>
      <c r="AK124">
        <v>168.8</v>
      </c>
      <c r="AL124">
        <v>227728000</v>
      </c>
      <c r="AM124">
        <v>1.4E-2</v>
      </c>
    </row>
    <row r="125" spans="1:39" x14ac:dyDescent="0.25">
      <c r="A125">
        <v>-6.8699999999978403E-2</v>
      </c>
      <c r="B125">
        <v>274.65222</v>
      </c>
      <c r="C125">
        <v>-0.18063878787416299</v>
      </c>
      <c r="D125">
        <v>3.3380000000022302E-2</v>
      </c>
      <c r="E125" s="1">
        <v>45846</v>
      </c>
      <c r="F125">
        <v>227728200</v>
      </c>
      <c r="G125">
        <v>4</v>
      </c>
      <c r="H125">
        <v>9.6293814999999991</v>
      </c>
      <c r="I125">
        <v>49.679422333300003</v>
      </c>
      <c r="J125">
        <v>4.6580000000000003E-2</v>
      </c>
      <c r="K125">
        <v>99.77</v>
      </c>
      <c r="L125">
        <v>-1226.0899999999999</v>
      </c>
      <c r="M125">
        <v>117.13</v>
      </c>
      <c r="N125">
        <v>167.6</v>
      </c>
      <c r="O125">
        <v>33800</v>
      </c>
      <c r="P125">
        <v>0.13900000000000001</v>
      </c>
      <c r="Q125">
        <v>-0.22433000000000899</v>
      </c>
      <c r="R125">
        <v>66.566429999999997</v>
      </c>
      <c r="S125">
        <v>-0.18163424241842799</v>
      </c>
      <c r="T125">
        <v>4.5789999999996597E-2</v>
      </c>
      <c r="U125" s="1">
        <v>45846</v>
      </c>
      <c r="V125">
        <v>227728200</v>
      </c>
      <c r="W125">
        <v>4</v>
      </c>
      <c r="X125">
        <v>9.6297069999999998</v>
      </c>
      <c r="Y125">
        <v>49.679456999999999</v>
      </c>
      <c r="Z125">
        <v>4.6800000000000001E-2</v>
      </c>
      <c r="AA125">
        <v>486.86</v>
      </c>
      <c r="AB125">
        <v>1123.26</v>
      </c>
      <c r="AC125">
        <v>196.03</v>
      </c>
      <c r="AD125">
        <v>166.8</v>
      </c>
      <c r="AE125">
        <v>33720</v>
      </c>
      <c r="AF125">
        <v>0.126</v>
      </c>
      <c r="AG125">
        <v>9.6295513333000002</v>
      </c>
      <c r="AH125">
        <v>49.679413333299998</v>
      </c>
      <c r="AI125">
        <v>12</v>
      </c>
      <c r="AJ125">
        <v>0.49</v>
      </c>
      <c r="AK125">
        <v>168.8</v>
      </c>
      <c r="AL125">
        <v>227728200</v>
      </c>
      <c r="AM125">
        <v>0.01</v>
      </c>
    </row>
    <row r="126" spans="1:39" x14ac:dyDescent="0.25">
      <c r="A126">
        <v>-1.09999999995125E-3</v>
      </c>
      <c r="B126">
        <v>274.71982000000003</v>
      </c>
      <c r="C126">
        <v>-9.0806060605538197E-2</v>
      </c>
      <c r="D126">
        <v>6.7600000000027194E-2</v>
      </c>
      <c r="E126" s="1">
        <v>45846</v>
      </c>
      <c r="F126">
        <v>227728400</v>
      </c>
      <c r="G126">
        <v>4</v>
      </c>
      <c r="H126">
        <v>9.6293814999999991</v>
      </c>
      <c r="I126">
        <v>49.679422500000001</v>
      </c>
      <c r="J126">
        <v>4.657E-2</v>
      </c>
      <c r="K126">
        <v>101.24</v>
      </c>
      <c r="L126">
        <v>-1226.25</v>
      </c>
      <c r="M126">
        <v>117.21</v>
      </c>
      <c r="N126">
        <v>167.6</v>
      </c>
      <c r="O126">
        <v>33800</v>
      </c>
      <c r="P126">
        <v>0.17100000000000001</v>
      </c>
      <c r="Q126">
        <v>-0.178510000000002</v>
      </c>
      <c r="R126">
        <v>66.612250000000003</v>
      </c>
      <c r="S126">
        <v>-9.6362121213159804E-2</v>
      </c>
      <c r="T126">
        <v>4.5820000000006099E-2</v>
      </c>
      <c r="U126" s="1">
        <v>45846</v>
      </c>
      <c r="V126">
        <v>227728400</v>
      </c>
      <c r="W126">
        <v>4</v>
      </c>
      <c r="X126">
        <v>9.6297069999999998</v>
      </c>
      <c r="Y126">
        <v>49.679456999999999</v>
      </c>
      <c r="Z126">
        <v>4.6809999999999997E-2</v>
      </c>
      <c r="AA126">
        <v>485.86</v>
      </c>
      <c r="AB126">
        <v>1123.42</v>
      </c>
      <c r="AC126">
        <v>196.31</v>
      </c>
      <c r="AD126">
        <v>166.8</v>
      </c>
      <c r="AE126">
        <v>33720</v>
      </c>
      <c r="AF126">
        <v>0.16900000000000001</v>
      </c>
      <c r="AG126">
        <v>9.6295513333000002</v>
      </c>
      <c r="AH126">
        <v>49.679413166700002</v>
      </c>
      <c r="AI126">
        <v>12</v>
      </c>
      <c r="AJ126">
        <v>0.49</v>
      </c>
      <c r="AK126">
        <v>168.8</v>
      </c>
      <c r="AL126">
        <v>227728400</v>
      </c>
      <c r="AM126">
        <v>4.5999999999999999E-2</v>
      </c>
    </row>
    <row r="127" spans="1:39" x14ac:dyDescent="0.25">
      <c r="A127">
        <v>3.3820000000048298E-2</v>
      </c>
      <c r="B127">
        <v>274.75474000000003</v>
      </c>
      <c r="C127">
        <v>-1.0872727239134999E-3</v>
      </c>
      <c r="D127">
        <v>3.4919999999999597E-2</v>
      </c>
      <c r="E127" s="1">
        <v>45846</v>
      </c>
      <c r="F127">
        <v>227728600</v>
      </c>
      <c r="G127">
        <v>4</v>
      </c>
      <c r="H127">
        <v>9.6293813332999996</v>
      </c>
      <c r="I127">
        <v>49.679422333300003</v>
      </c>
      <c r="J127">
        <v>4.6559999999999997E-2</v>
      </c>
      <c r="K127">
        <v>102</v>
      </c>
      <c r="L127">
        <v>-1226.3</v>
      </c>
      <c r="M127">
        <v>117.37</v>
      </c>
      <c r="N127">
        <v>167.6</v>
      </c>
      <c r="O127">
        <v>33800</v>
      </c>
      <c r="P127">
        <v>0.2</v>
      </c>
      <c r="Q127">
        <v>-0.16390000000001201</v>
      </c>
      <c r="R127">
        <v>66.626859999999994</v>
      </c>
      <c r="S127">
        <v>-2.6493939390969098E-2</v>
      </c>
      <c r="T127">
        <v>1.46099999999904E-2</v>
      </c>
      <c r="U127" s="1">
        <v>45846</v>
      </c>
      <c r="V127">
        <v>227728600</v>
      </c>
      <c r="W127">
        <v>4</v>
      </c>
      <c r="X127">
        <v>9.6297069999999998</v>
      </c>
      <c r="Y127">
        <v>49.679456999999999</v>
      </c>
      <c r="Z127">
        <v>4.6800000000000001E-2</v>
      </c>
      <c r="AA127">
        <v>485.67</v>
      </c>
      <c r="AB127">
        <v>1123.77</v>
      </c>
      <c r="AC127">
        <v>195.98</v>
      </c>
      <c r="AD127">
        <v>166.8</v>
      </c>
      <c r="AE127">
        <v>33720</v>
      </c>
      <c r="AF127">
        <v>0.21199999999999999</v>
      </c>
      <c r="AG127">
        <v>9.6295511667000007</v>
      </c>
      <c r="AH127">
        <v>49.679413166700002</v>
      </c>
      <c r="AI127">
        <v>12</v>
      </c>
      <c r="AJ127">
        <v>0.49</v>
      </c>
      <c r="AK127">
        <v>168.8</v>
      </c>
      <c r="AL127">
        <v>227728600</v>
      </c>
      <c r="AM127">
        <v>4.7E-2</v>
      </c>
    </row>
    <row r="128" spans="1:39" x14ac:dyDescent="0.25">
      <c r="A128">
        <v>9.7460000000012301E-2</v>
      </c>
      <c r="B128">
        <v>274.81837999999999</v>
      </c>
      <c r="C128">
        <v>8.1515151505096806E-2</v>
      </c>
      <c r="D128">
        <v>6.3639999999963906E-2</v>
      </c>
      <c r="E128" s="1">
        <v>45846</v>
      </c>
      <c r="F128">
        <v>227728800</v>
      </c>
      <c r="G128">
        <v>4</v>
      </c>
      <c r="H128">
        <v>9.6293813332999996</v>
      </c>
      <c r="I128">
        <v>49.679422333300003</v>
      </c>
      <c r="J128">
        <v>4.6550000000000001E-2</v>
      </c>
      <c r="K128">
        <v>103.39</v>
      </c>
      <c r="L128">
        <v>-1226.46</v>
      </c>
      <c r="M128">
        <v>117.88</v>
      </c>
      <c r="N128">
        <v>167.6</v>
      </c>
      <c r="O128">
        <v>33800</v>
      </c>
      <c r="P128">
        <v>0.255</v>
      </c>
      <c r="Q128">
        <v>-6.7300000000002996E-2</v>
      </c>
      <c r="R128">
        <v>66.723460000000003</v>
      </c>
      <c r="S128">
        <v>6.0711515140430897E-2</v>
      </c>
      <c r="T128">
        <v>9.6600000000009303E-2</v>
      </c>
      <c r="U128" s="1">
        <v>45846</v>
      </c>
      <c r="V128">
        <v>227728800</v>
      </c>
      <c r="W128">
        <v>4</v>
      </c>
      <c r="X128">
        <v>9.6297069999999998</v>
      </c>
      <c r="Y128">
        <v>49.679456500000001</v>
      </c>
      <c r="Z128">
        <v>4.6829999999999997E-2</v>
      </c>
      <c r="AA128">
        <v>483.53</v>
      </c>
      <c r="AB128">
        <v>1124</v>
      </c>
      <c r="AC128">
        <v>195.54</v>
      </c>
      <c r="AD128">
        <v>166.8</v>
      </c>
      <c r="AE128">
        <v>33720</v>
      </c>
      <c r="AF128">
        <v>0.249</v>
      </c>
      <c r="AG128">
        <v>9.6295511667000007</v>
      </c>
      <c r="AH128">
        <v>49.679412999999997</v>
      </c>
      <c r="AI128">
        <v>12</v>
      </c>
      <c r="AJ128">
        <v>0.49</v>
      </c>
      <c r="AK128">
        <v>168.8</v>
      </c>
      <c r="AL128">
        <v>227728800</v>
      </c>
      <c r="AM128">
        <v>2.9000000000000001E-2</v>
      </c>
    </row>
    <row r="129" spans="1:39" x14ac:dyDescent="0.25">
      <c r="A129">
        <v>0.15900000000004799</v>
      </c>
      <c r="B129">
        <v>274.87992000000003</v>
      </c>
      <c r="C129">
        <v>0.14891090907436999</v>
      </c>
      <c r="D129">
        <v>6.1540000000036302E-2</v>
      </c>
      <c r="E129" s="1">
        <v>45846</v>
      </c>
      <c r="F129">
        <v>227729000</v>
      </c>
      <c r="G129">
        <v>4</v>
      </c>
      <c r="H129">
        <v>9.6293811667</v>
      </c>
      <c r="I129">
        <v>49.679422500000001</v>
      </c>
      <c r="J129">
        <v>4.6539999999999998E-2</v>
      </c>
      <c r="K129">
        <v>104.74</v>
      </c>
      <c r="L129">
        <v>-1226.74</v>
      </c>
      <c r="M129">
        <v>117.74</v>
      </c>
      <c r="N129">
        <v>167.6</v>
      </c>
      <c r="O129">
        <v>33800</v>
      </c>
      <c r="P129">
        <v>0.22800000000000001</v>
      </c>
      <c r="Q129">
        <v>-5.2550000000010699E-2</v>
      </c>
      <c r="R129">
        <v>66.738209999999995</v>
      </c>
      <c r="S129">
        <v>0.135668484829953</v>
      </c>
      <c r="T129">
        <v>1.47499999999922E-2</v>
      </c>
      <c r="U129" s="1">
        <v>45846</v>
      </c>
      <c r="V129">
        <v>227729000</v>
      </c>
      <c r="W129">
        <v>4</v>
      </c>
      <c r="X129">
        <v>9.6297069999999998</v>
      </c>
      <c r="Y129">
        <v>49.679456500000001</v>
      </c>
      <c r="Z129">
        <v>4.6820000000000001E-2</v>
      </c>
      <c r="AA129">
        <v>483.25</v>
      </c>
      <c r="AB129">
        <v>1124.1600000000001</v>
      </c>
      <c r="AC129">
        <v>195.16</v>
      </c>
      <c r="AD129">
        <v>166.8</v>
      </c>
      <c r="AE129">
        <v>33720</v>
      </c>
      <c r="AF129">
        <v>0.22500000000000001</v>
      </c>
      <c r="AG129">
        <v>9.6295511667000007</v>
      </c>
      <c r="AH129">
        <v>49.679412999999997</v>
      </c>
      <c r="AI129">
        <v>12</v>
      </c>
      <c r="AJ129">
        <v>0.49</v>
      </c>
      <c r="AK129">
        <v>168.8</v>
      </c>
      <c r="AL129">
        <v>227729000</v>
      </c>
      <c r="AM129">
        <v>2.5000000000000001E-2</v>
      </c>
    </row>
    <row r="130" spans="1:39" x14ac:dyDescent="0.25">
      <c r="A130">
        <v>0.21546000000000701</v>
      </c>
      <c r="B130">
        <v>274.93637999999999</v>
      </c>
      <c r="C130">
        <v>0.20039151514300901</v>
      </c>
      <c r="D130">
        <v>5.6459999999958599E-2</v>
      </c>
      <c r="E130" s="1">
        <v>45846</v>
      </c>
      <c r="F130">
        <v>227729200</v>
      </c>
      <c r="G130">
        <v>4</v>
      </c>
      <c r="H130">
        <v>9.6293811667</v>
      </c>
      <c r="I130">
        <v>49.679422500000001</v>
      </c>
      <c r="J130">
        <v>4.6530000000000002E-2</v>
      </c>
      <c r="K130">
        <v>105.96</v>
      </c>
      <c r="L130">
        <v>-1226.83</v>
      </c>
      <c r="M130">
        <v>118.32</v>
      </c>
      <c r="N130">
        <v>167.6</v>
      </c>
      <c r="O130">
        <v>33800</v>
      </c>
      <c r="P130">
        <v>0.26800000000000002</v>
      </c>
      <c r="Q130">
        <v>7.1599999999989398E-3</v>
      </c>
      <c r="R130">
        <v>66.797920000000005</v>
      </c>
      <c r="S130">
        <v>0.19595727271892799</v>
      </c>
      <c r="T130">
        <v>5.97100000000097E-2</v>
      </c>
      <c r="U130" s="1">
        <v>45846</v>
      </c>
      <c r="V130">
        <v>227729200</v>
      </c>
      <c r="W130">
        <v>4</v>
      </c>
      <c r="X130">
        <v>9.6297069999999998</v>
      </c>
      <c r="Y130">
        <v>49.679456333300003</v>
      </c>
      <c r="Z130">
        <v>4.6829999999999997E-2</v>
      </c>
      <c r="AA130">
        <v>482.02</v>
      </c>
      <c r="AB130">
        <v>1124.53</v>
      </c>
      <c r="AC130">
        <v>194.8</v>
      </c>
      <c r="AD130">
        <v>166.8</v>
      </c>
      <c r="AE130">
        <v>33720</v>
      </c>
      <c r="AF130">
        <v>0.27800000000000002</v>
      </c>
      <c r="AG130">
        <v>9.6295511667000007</v>
      </c>
      <c r="AH130">
        <v>49.679412833299999</v>
      </c>
      <c r="AI130">
        <v>12</v>
      </c>
      <c r="AJ130">
        <v>0.49</v>
      </c>
      <c r="AK130">
        <v>168.8</v>
      </c>
      <c r="AL130">
        <v>227729200</v>
      </c>
      <c r="AM130">
        <v>4.5999999999999999E-2</v>
      </c>
    </row>
    <row r="131" spans="1:39" x14ac:dyDescent="0.25">
      <c r="A131">
        <v>0.26032000000003502</v>
      </c>
      <c r="B131">
        <v>274.98124000000001</v>
      </c>
      <c r="C131">
        <v>0.23525818180393701</v>
      </c>
      <c r="D131">
        <v>4.4860000000028301E-2</v>
      </c>
      <c r="E131" s="1">
        <v>45846</v>
      </c>
      <c r="F131">
        <v>227729400</v>
      </c>
      <c r="G131">
        <v>4</v>
      </c>
      <c r="H131">
        <v>9.6293811667</v>
      </c>
      <c r="I131">
        <v>49.679422666699999</v>
      </c>
      <c r="J131">
        <v>4.6519999999999999E-2</v>
      </c>
      <c r="K131">
        <v>106.95</v>
      </c>
      <c r="L131">
        <v>-1227.02</v>
      </c>
      <c r="M131">
        <v>118.25</v>
      </c>
      <c r="N131">
        <v>167.6</v>
      </c>
      <c r="O131">
        <v>33800</v>
      </c>
      <c r="P131">
        <v>0.27</v>
      </c>
      <c r="Q131">
        <v>6.8159999999991699E-2</v>
      </c>
      <c r="R131">
        <v>66.858919999999998</v>
      </c>
      <c r="S131">
        <v>0.23198969695656299</v>
      </c>
      <c r="T131">
        <v>6.0999999999992803E-2</v>
      </c>
      <c r="U131" s="1">
        <v>45846</v>
      </c>
      <c r="V131">
        <v>227729400</v>
      </c>
      <c r="W131">
        <v>4</v>
      </c>
      <c r="X131">
        <v>9.6297069999999998</v>
      </c>
      <c r="Y131">
        <v>49.6794561667</v>
      </c>
      <c r="Z131">
        <v>4.684E-2</v>
      </c>
      <c r="AA131">
        <v>480.75</v>
      </c>
      <c r="AB131">
        <v>1124.8699999999999</v>
      </c>
      <c r="AC131">
        <v>193.89</v>
      </c>
      <c r="AD131">
        <v>166.8</v>
      </c>
      <c r="AE131">
        <v>33720</v>
      </c>
      <c r="AF131">
        <v>0.23100000000000001</v>
      </c>
      <c r="AG131">
        <v>9.6295511667000007</v>
      </c>
      <c r="AH131">
        <v>49.679412833299999</v>
      </c>
      <c r="AI131">
        <v>12</v>
      </c>
      <c r="AJ131">
        <v>0.49</v>
      </c>
      <c r="AK131">
        <v>168.8</v>
      </c>
      <c r="AL131">
        <v>227729400</v>
      </c>
      <c r="AM131">
        <v>4.0000000000000001E-3</v>
      </c>
    </row>
    <row r="132" spans="1:39" x14ac:dyDescent="0.25">
      <c r="A132">
        <v>0.32742000000001698</v>
      </c>
      <c r="B132">
        <v>275.04834</v>
      </c>
      <c r="C132">
        <v>0.25969939394635</v>
      </c>
      <c r="D132">
        <v>6.7099999999982105E-2</v>
      </c>
      <c r="E132" s="1">
        <v>45846</v>
      </c>
      <c r="F132">
        <v>227729600</v>
      </c>
      <c r="G132">
        <v>4</v>
      </c>
      <c r="H132">
        <v>9.6293811667</v>
      </c>
      <c r="I132">
        <v>49.679422833300002</v>
      </c>
      <c r="J132">
        <v>4.6510000000000003E-2</v>
      </c>
      <c r="K132">
        <v>108.41</v>
      </c>
      <c r="L132">
        <v>-1227.24</v>
      </c>
      <c r="M132">
        <v>119.05</v>
      </c>
      <c r="N132">
        <v>167.6</v>
      </c>
      <c r="O132">
        <v>33800</v>
      </c>
      <c r="P132">
        <v>0.29899999999999999</v>
      </c>
      <c r="Q132">
        <v>0.12548999999999899</v>
      </c>
      <c r="R132">
        <v>66.916250000000005</v>
      </c>
      <c r="S132">
        <v>0.24935515152079901</v>
      </c>
      <c r="T132">
        <v>5.7330000000007403E-2</v>
      </c>
      <c r="U132" s="1">
        <v>45846</v>
      </c>
      <c r="V132">
        <v>227729600</v>
      </c>
      <c r="W132">
        <v>4</v>
      </c>
      <c r="X132">
        <v>9.6297069999999998</v>
      </c>
      <c r="Y132">
        <v>49.679456000000002</v>
      </c>
      <c r="Z132">
        <v>4.6850000000000003E-2</v>
      </c>
      <c r="AA132">
        <v>479.53</v>
      </c>
      <c r="AB132">
        <v>1125.1400000000001</v>
      </c>
      <c r="AC132">
        <v>193.56</v>
      </c>
      <c r="AD132">
        <v>166.8</v>
      </c>
      <c r="AE132">
        <v>33720</v>
      </c>
      <c r="AF132">
        <v>0.19400000000000001</v>
      </c>
      <c r="AG132">
        <v>9.6295511667000007</v>
      </c>
      <c r="AH132">
        <v>49.679412833299999</v>
      </c>
      <c r="AI132">
        <v>12</v>
      </c>
      <c r="AJ132">
        <v>0.49</v>
      </c>
      <c r="AK132">
        <v>168.8</v>
      </c>
      <c r="AL132">
        <v>227729600</v>
      </c>
      <c r="AM132">
        <v>6.7000000000000004E-2</v>
      </c>
    </row>
    <row r="133" spans="1:39" x14ac:dyDescent="0.25">
      <c r="A133">
        <v>0.38748000000003902</v>
      </c>
      <c r="B133">
        <v>275.10840000000002</v>
      </c>
      <c r="C133">
        <v>0.27552848483695302</v>
      </c>
      <c r="D133">
        <v>6.0060000000021298E-2</v>
      </c>
      <c r="E133" s="1">
        <v>45846</v>
      </c>
      <c r="F133">
        <v>227729800</v>
      </c>
      <c r="G133">
        <v>4</v>
      </c>
      <c r="H133">
        <v>9.6293811667</v>
      </c>
      <c r="I133">
        <v>49.679422833300002</v>
      </c>
      <c r="J133">
        <v>4.65E-2</v>
      </c>
      <c r="K133">
        <v>109.72</v>
      </c>
      <c r="L133">
        <v>-1227.3800000000001</v>
      </c>
      <c r="M133">
        <v>119.49</v>
      </c>
      <c r="N133">
        <v>167.6</v>
      </c>
      <c r="O133">
        <v>33790</v>
      </c>
      <c r="P133">
        <v>0.25800000000000001</v>
      </c>
      <c r="Q133">
        <v>0.18667999999999499</v>
      </c>
      <c r="R133">
        <v>66.977440000000001</v>
      </c>
      <c r="S133">
        <v>0.25215818180742</v>
      </c>
      <c r="T133">
        <v>6.1189999999996199E-2</v>
      </c>
      <c r="U133" s="1">
        <v>45846</v>
      </c>
      <c r="V133">
        <v>227729800</v>
      </c>
      <c r="W133">
        <v>4</v>
      </c>
      <c r="X133">
        <v>9.6297069999999998</v>
      </c>
      <c r="Y133">
        <v>49.679456000000002</v>
      </c>
      <c r="Z133">
        <v>4.6850000000000003E-2</v>
      </c>
      <c r="AA133">
        <v>478.26</v>
      </c>
      <c r="AB133">
        <v>1125.49</v>
      </c>
      <c r="AC133">
        <v>192.87</v>
      </c>
      <c r="AD133">
        <v>166.8</v>
      </c>
      <c r="AE133">
        <v>33710</v>
      </c>
      <c r="AF133">
        <v>0.221</v>
      </c>
      <c r="AG133">
        <v>9.6295509999999993</v>
      </c>
      <c r="AH133">
        <v>49.679412833299999</v>
      </c>
      <c r="AI133">
        <v>12</v>
      </c>
      <c r="AJ133">
        <v>0.49</v>
      </c>
      <c r="AK133">
        <v>168.7</v>
      </c>
      <c r="AL133">
        <v>227729800</v>
      </c>
      <c r="AM133">
        <v>4.9000000000000002E-2</v>
      </c>
    </row>
    <row r="134" spans="1:39" x14ac:dyDescent="0.25">
      <c r="A134">
        <v>0.43670000000003001</v>
      </c>
      <c r="B134">
        <v>275.15762000000001</v>
      </c>
      <c r="C134">
        <v>0.28126363637250201</v>
      </c>
      <c r="D134">
        <v>4.9219999999991097E-2</v>
      </c>
      <c r="E134" s="1">
        <v>45846</v>
      </c>
      <c r="F134">
        <v>227730000</v>
      </c>
      <c r="G134">
        <v>4</v>
      </c>
      <c r="H134">
        <v>9.6293811667</v>
      </c>
      <c r="I134">
        <v>49.679423</v>
      </c>
      <c r="J134">
        <v>4.6489999999999997E-2</v>
      </c>
      <c r="K134">
        <v>110.79</v>
      </c>
      <c r="L134">
        <v>-1227.42</v>
      </c>
      <c r="M134">
        <v>120.05</v>
      </c>
      <c r="N134">
        <v>167.6</v>
      </c>
      <c r="O134">
        <v>33790</v>
      </c>
      <c r="P134">
        <v>0.20899999999999999</v>
      </c>
      <c r="Q134">
        <v>0.27703999999999901</v>
      </c>
      <c r="R134">
        <v>67.067800000000005</v>
      </c>
      <c r="S134">
        <v>0.27217272728212399</v>
      </c>
      <c r="T134">
        <v>9.0360000000003896E-2</v>
      </c>
      <c r="U134" s="1">
        <v>45846</v>
      </c>
      <c r="V134">
        <v>227730000</v>
      </c>
      <c r="W134">
        <v>4</v>
      </c>
      <c r="X134">
        <v>9.6297071666999994</v>
      </c>
      <c r="Y134">
        <v>49.679455833299997</v>
      </c>
      <c r="Z134">
        <v>4.6879999999999998E-2</v>
      </c>
      <c r="AA134">
        <v>476.23</v>
      </c>
      <c r="AB134">
        <v>1125.6300000000001</v>
      </c>
      <c r="AC134">
        <v>192.13</v>
      </c>
      <c r="AD134">
        <v>166.8</v>
      </c>
      <c r="AE134">
        <v>33710</v>
      </c>
      <c r="AF134">
        <v>0.255</v>
      </c>
      <c r="AG134">
        <v>9.6295509999999993</v>
      </c>
      <c r="AH134">
        <v>49.679412666700003</v>
      </c>
      <c r="AI134">
        <v>12</v>
      </c>
      <c r="AJ134">
        <v>0.49</v>
      </c>
      <c r="AK134">
        <v>168.7</v>
      </c>
      <c r="AL134">
        <v>227730000</v>
      </c>
      <c r="AM134">
        <v>2.4E-2</v>
      </c>
    </row>
    <row r="135" spans="1:39" x14ac:dyDescent="0.25">
      <c r="A135">
        <v>0.49780000000003999</v>
      </c>
      <c r="B135">
        <v>275.21872000000002</v>
      </c>
      <c r="C135">
        <v>0.28213575758492099</v>
      </c>
      <c r="D135">
        <v>6.1100000000010299E-2</v>
      </c>
      <c r="E135" s="1">
        <v>45846</v>
      </c>
      <c r="F135">
        <v>227730200</v>
      </c>
      <c r="G135">
        <v>4</v>
      </c>
      <c r="H135">
        <v>9.6293811667</v>
      </c>
      <c r="I135">
        <v>49.679423166699998</v>
      </c>
      <c r="J135">
        <v>4.6469999999999997E-2</v>
      </c>
      <c r="K135">
        <v>112.15</v>
      </c>
      <c r="L135">
        <v>-1227.9000000000001</v>
      </c>
      <c r="M135">
        <v>120.03</v>
      </c>
      <c r="N135">
        <v>167.6</v>
      </c>
      <c r="O135">
        <v>33790</v>
      </c>
      <c r="P135">
        <v>0.17799999999999999</v>
      </c>
      <c r="Q135">
        <v>0.323479999999989</v>
      </c>
      <c r="R135">
        <v>67.114239999999995</v>
      </c>
      <c r="S135">
        <v>0.286954848494413</v>
      </c>
      <c r="T135">
        <v>4.6439999999989802E-2</v>
      </c>
      <c r="U135" s="1">
        <v>45846</v>
      </c>
      <c r="V135">
        <v>227730200</v>
      </c>
      <c r="W135">
        <v>4</v>
      </c>
      <c r="X135">
        <v>9.6297071666999994</v>
      </c>
      <c r="Y135">
        <v>49.679455666700001</v>
      </c>
      <c r="Z135">
        <v>4.6890000000000001E-2</v>
      </c>
      <c r="AA135">
        <v>475.16</v>
      </c>
      <c r="AB135">
        <v>1125.6300000000001</v>
      </c>
      <c r="AC135">
        <v>191.92</v>
      </c>
      <c r="AD135">
        <v>166.9</v>
      </c>
      <c r="AE135">
        <v>33720</v>
      </c>
      <c r="AF135">
        <v>0.20799999999999999</v>
      </c>
      <c r="AG135">
        <v>9.6295509999999993</v>
      </c>
      <c r="AH135">
        <v>49.679412666700003</v>
      </c>
      <c r="AI135">
        <v>12</v>
      </c>
      <c r="AJ135">
        <v>0.49</v>
      </c>
      <c r="AK135">
        <v>168.7</v>
      </c>
      <c r="AL135">
        <v>227730200</v>
      </c>
      <c r="AM135">
        <v>3.2000000000000001E-2</v>
      </c>
    </row>
    <row r="136" spans="1:39" x14ac:dyDescent="0.25">
      <c r="A136">
        <v>0.54436000000004003</v>
      </c>
      <c r="B136">
        <v>275.26528000000002</v>
      </c>
      <c r="C136">
        <v>0.28390606060920298</v>
      </c>
      <c r="D136">
        <v>4.65599999999994E-2</v>
      </c>
      <c r="E136" s="1">
        <v>45846</v>
      </c>
      <c r="F136">
        <v>227730400</v>
      </c>
      <c r="G136">
        <v>4</v>
      </c>
      <c r="H136">
        <v>9.6293811667</v>
      </c>
      <c r="I136">
        <v>49.679423166699998</v>
      </c>
      <c r="J136">
        <v>4.6460000000000001E-2</v>
      </c>
      <c r="K136">
        <v>113.16</v>
      </c>
      <c r="L136">
        <v>-1227.92</v>
      </c>
      <c r="M136">
        <v>120.37</v>
      </c>
      <c r="N136">
        <v>167.6</v>
      </c>
      <c r="O136">
        <v>33790</v>
      </c>
      <c r="P136">
        <v>0.161</v>
      </c>
      <c r="Q136">
        <v>0.34076999999999202</v>
      </c>
      <c r="R136">
        <v>67.131529999999998</v>
      </c>
      <c r="S136">
        <v>0.28852515151805802</v>
      </c>
      <c r="T136">
        <v>1.7290000000002598E-2</v>
      </c>
      <c r="U136" s="1">
        <v>45846</v>
      </c>
      <c r="V136">
        <v>227730400</v>
      </c>
      <c r="W136">
        <v>4</v>
      </c>
      <c r="X136">
        <v>9.6297071666999994</v>
      </c>
      <c r="Y136">
        <v>49.679455666700001</v>
      </c>
      <c r="Z136">
        <v>4.6890000000000001E-2</v>
      </c>
      <c r="AA136">
        <v>474.91</v>
      </c>
      <c r="AB136">
        <v>1125.99</v>
      </c>
      <c r="AC136">
        <v>192</v>
      </c>
      <c r="AD136">
        <v>166.9</v>
      </c>
      <c r="AE136">
        <v>33720</v>
      </c>
      <c r="AF136">
        <v>0.17599999999999999</v>
      </c>
      <c r="AG136">
        <v>9.6295509999999993</v>
      </c>
      <c r="AH136">
        <v>49.679412666700003</v>
      </c>
      <c r="AI136">
        <v>12</v>
      </c>
      <c r="AJ136">
        <v>0.49</v>
      </c>
      <c r="AK136">
        <v>168.7</v>
      </c>
      <c r="AL136">
        <v>227730400</v>
      </c>
      <c r="AM136">
        <v>2.3E-2</v>
      </c>
    </row>
    <row r="137" spans="1:39" x14ac:dyDescent="0.25">
      <c r="A137">
        <v>0.58170000000001199</v>
      </c>
      <c r="B137">
        <v>275.30261999999999</v>
      </c>
      <c r="C137">
        <v>0.274441818159054</v>
      </c>
      <c r="D137">
        <v>3.7339999999971903E-2</v>
      </c>
      <c r="E137" s="1">
        <v>45846</v>
      </c>
      <c r="F137">
        <v>227730600</v>
      </c>
      <c r="G137">
        <v>4</v>
      </c>
      <c r="H137">
        <v>9.6293810000000004</v>
      </c>
      <c r="I137">
        <v>49.679423</v>
      </c>
      <c r="J137">
        <v>4.6449999999999998E-2</v>
      </c>
      <c r="K137">
        <v>113.99</v>
      </c>
      <c r="L137">
        <v>-1228.2</v>
      </c>
      <c r="M137">
        <v>120.85</v>
      </c>
      <c r="N137">
        <v>167.5</v>
      </c>
      <c r="O137">
        <v>33779.999999999898</v>
      </c>
      <c r="P137">
        <v>0.14399999999999999</v>
      </c>
      <c r="Q137">
        <v>0.418509999999997</v>
      </c>
      <c r="R137">
        <v>67.209270000000004</v>
      </c>
      <c r="S137">
        <v>0.28469575754903698</v>
      </c>
      <c r="T137">
        <v>7.7740000000005693E-2</v>
      </c>
      <c r="U137" s="1">
        <v>45846</v>
      </c>
      <c r="V137">
        <v>227730600</v>
      </c>
      <c r="W137">
        <v>4</v>
      </c>
      <c r="X137">
        <v>9.6297071666999994</v>
      </c>
      <c r="Y137">
        <v>49.679455166700002</v>
      </c>
      <c r="Z137">
        <v>4.6899999999999997E-2</v>
      </c>
      <c r="AA137">
        <v>473.19</v>
      </c>
      <c r="AB137">
        <v>1126.19</v>
      </c>
      <c r="AC137">
        <v>191.77</v>
      </c>
      <c r="AD137">
        <v>166.8</v>
      </c>
      <c r="AE137">
        <v>33710</v>
      </c>
      <c r="AF137">
        <v>0.14299999999999999</v>
      </c>
      <c r="AG137">
        <v>9.6295509999999993</v>
      </c>
      <c r="AH137">
        <v>49.679412666700003</v>
      </c>
      <c r="AI137">
        <v>12</v>
      </c>
      <c r="AJ137">
        <v>0.49</v>
      </c>
      <c r="AK137">
        <v>168.7</v>
      </c>
      <c r="AL137">
        <v>227730600</v>
      </c>
      <c r="AM137">
        <v>2.1999999999999999E-2</v>
      </c>
    </row>
    <row r="138" spans="1:39" x14ac:dyDescent="0.25">
      <c r="A138">
        <v>0.59972000000004699</v>
      </c>
      <c r="B138">
        <v>275.32064000000003</v>
      </c>
      <c r="C138">
        <v>0.25790060605026299</v>
      </c>
      <c r="D138">
        <v>1.80200000000354E-2</v>
      </c>
      <c r="E138" s="1">
        <v>45846</v>
      </c>
      <c r="F138">
        <v>227730800</v>
      </c>
      <c r="G138">
        <v>4</v>
      </c>
      <c r="H138">
        <v>9.6293810000000004</v>
      </c>
      <c r="I138">
        <v>49.679423</v>
      </c>
      <c r="J138">
        <v>4.6449999999999998E-2</v>
      </c>
      <c r="K138">
        <v>114.39</v>
      </c>
      <c r="L138">
        <v>-1228.27</v>
      </c>
      <c r="M138">
        <v>121.25</v>
      </c>
      <c r="N138">
        <v>167.5</v>
      </c>
      <c r="O138">
        <v>33779.999999999898</v>
      </c>
      <c r="P138">
        <v>7.9000000000000001E-2</v>
      </c>
      <c r="Q138">
        <v>0.43113999999999902</v>
      </c>
      <c r="R138">
        <v>67.221900000000005</v>
      </c>
      <c r="S138">
        <v>0.28121333332214099</v>
      </c>
      <c r="T138">
        <v>1.2630000000001401E-2</v>
      </c>
      <c r="U138" s="1">
        <v>45846</v>
      </c>
      <c r="V138">
        <v>227730800</v>
      </c>
      <c r="W138">
        <v>4</v>
      </c>
      <c r="X138">
        <v>9.6297071666999994</v>
      </c>
      <c r="Y138">
        <v>49.679455166700002</v>
      </c>
      <c r="Z138">
        <v>4.691E-2</v>
      </c>
      <c r="AA138">
        <v>472.89</v>
      </c>
      <c r="AB138">
        <v>1126.18</v>
      </c>
      <c r="AC138">
        <v>191.84</v>
      </c>
      <c r="AD138">
        <v>166.8</v>
      </c>
      <c r="AE138">
        <v>33710</v>
      </c>
      <c r="AF138">
        <v>0.05</v>
      </c>
      <c r="AG138">
        <v>9.6295509999999993</v>
      </c>
      <c r="AH138">
        <v>49.679412499999998</v>
      </c>
      <c r="AI138">
        <v>12</v>
      </c>
      <c r="AJ138">
        <v>0.49</v>
      </c>
      <c r="AK138">
        <v>168.7</v>
      </c>
      <c r="AL138">
        <v>227730800</v>
      </c>
      <c r="AM138">
        <v>4.9000000000000002E-2</v>
      </c>
    </row>
    <row r="139" spans="1:39" x14ac:dyDescent="0.25">
      <c r="A139">
        <v>0.580600000000004</v>
      </c>
      <c r="B139">
        <v>275.30151999999998</v>
      </c>
      <c r="C139">
        <v>0.226218181813682</v>
      </c>
      <c r="D139">
        <v>-1.9120000000043502E-2</v>
      </c>
      <c r="E139" s="1">
        <v>45846</v>
      </c>
      <c r="F139">
        <v>227731000</v>
      </c>
      <c r="G139">
        <v>4</v>
      </c>
      <c r="H139">
        <v>9.6293810000000004</v>
      </c>
      <c r="I139">
        <v>49.679423</v>
      </c>
      <c r="J139">
        <v>4.6449999999999998E-2</v>
      </c>
      <c r="K139">
        <v>113.96</v>
      </c>
      <c r="L139">
        <v>-1228.0899999999999</v>
      </c>
      <c r="M139">
        <v>121.13</v>
      </c>
      <c r="N139">
        <v>167.5</v>
      </c>
      <c r="O139">
        <v>33779.999999999898</v>
      </c>
      <c r="P139">
        <v>0.106</v>
      </c>
      <c r="Q139">
        <v>0.410959999999988</v>
      </c>
      <c r="R139">
        <v>67.201719999999995</v>
      </c>
      <c r="S139">
        <v>0.24693545454077601</v>
      </c>
      <c r="T139">
        <v>-2.0180000000010499E-2</v>
      </c>
      <c r="U139" s="1">
        <v>45846</v>
      </c>
      <c r="V139">
        <v>227731000</v>
      </c>
      <c r="W139">
        <v>4</v>
      </c>
      <c r="X139">
        <v>9.6297069999999998</v>
      </c>
      <c r="Y139">
        <v>49.679455333299998</v>
      </c>
      <c r="Z139">
        <v>4.691E-2</v>
      </c>
      <c r="AA139">
        <v>473.3</v>
      </c>
      <c r="AB139">
        <v>1126.02</v>
      </c>
      <c r="AC139">
        <v>191.51</v>
      </c>
      <c r="AD139">
        <v>166.8</v>
      </c>
      <c r="AE139">
        <v>33710</v>
      </c>
      <c r="AF139">
        <v>7.4999999999999997E-2</v>
      </c>
      <c r="AG139">
        <v>9.6295509999999993</v>
      </c>
      <c r="AH139">
        <v>49.679412499999998</v>
      </c>
      <c r="AI139">
        <v>12</v>
      </c>
      <c r="AJ139">
        <v>0.49</v>
      </c>
      <c r="AK139">
        <v>168.7</v>
      </c>
      <c r="AL139">
        <v>227731000</v>
      </c>
      <c r="AM139">
        <v>4.5999999999999999E-2</v>
      </c>
    </row>
    <row r="140" spans="1:39" x14ac:dyDescent="0.25">
      <c r="A140">
        <v>0.54538000000002196</v>
      </c>
      <c r="B140">
        <v>275.2663</v>
      </c>
      <c r="C140">
        <v>0.17819878785722901</v>
      </c>
      <c r="D140">
        <v>-3.52199999999811E-2</v>
      </c>
      <c r="E140" s="1">
        <v>45846</v>
      </c>
      <c r="F140">
        <v>227731200</v>
      </c>
      <c r="G140">
        <v>4</v>
      </c>
      <c r="H140">
        <v>9.6293810000000004</v>
      </c>
      <c r="I140">
        <v>49.679423</v>
      </c>
      <c r="J140">
        <v>4.6449999999999998E-2</v>
      </c>
      <c r="K140">
        <v>113.2</v>
      </c>
      <c r="L140">
        <v>-1228.17</v>
      </c>
      <c r="M140">
        <v>120.78</v>
      </c>
      <c r="N140">
        <v>167.5</v>
      </c>
      <c r="O140">
        <v>33779.999999999898</v>
      </c>
      <c r="P140">
        <v>0.13600000000000001</v>
      </c>
      <c r="Q140">
        <v>0.36856999999999102</v>
      </c>
      <c r="R140">
        <v>67.159329999999997</v>
      </c>
      <c r="S140">
        <v>0.192908484824167</v>
      </c>
      <c r="T140">
        <v>-4.2389999999997402E-2</v>
      </c>
      <c r="U140" s="1">
        <v>45846</v>
      </c>
      <c r="V140">
        <v>227731200</v>
      </c>
      <c r="W140">
        <v>4</v>
      </c>
      <c r="X140">
        <v>9.6297069999999998</v>
      </c>
      <c r="Y140">
        <v>49.679455333299998</v>
      </c>
      <c r="Z140">
        <v>4.6899999999999997E-2</v>
      </c>
      <c r="AA140">
        <v>474.2</v>
      </c>
      <c r="AB140">
        <v>1125.8399999999999</v>
      </c>
      <c r="AC140">
        <v>192.23</v>
      </c>
      <c r="AD140">
        <v>166.8</v>
      </c>
      <c r="AE140">
        <v>33710</v>
      </c>
      <c r="AF140">
        <v>8.4000000000000005E-2</v>
      </c>
      <c r="AG140">
        <v>9.6295508332999997</v>
      </c>
      <c r="AH140">
        <v>49.6794123333</v>
      </c>
      <c r="AI140">
        <v>12</v>
      </c>
      <c r="AJ140">
        <v>0.49</v>
      </c>
      <c r="AK140">
        <v>168.7</v>
      </c>
      <c r="AL140">
        <v>227731200</v>
      </c>
      <c r="AM140">
        <v>1.4E-2</v>
      </c>
    </row>
    <row r="141" spans="1:39" x14ac:dyDescent="0.25">
      <c r="A141">
        <v>0.50069999999999404</v>
      </c>
      <c r="B141">
        <v>275.22161999999997</v>
      </c>
      <c r="C141">
        <v>0.112952121210002</v>
      </c>
      <c r="D141">
        <v>-4.4680000000028003E-2</v>
      </c>
      <c r="E141" s="1">
        <v>45846</v>
      </c>
      <c r="F141">
        <v>227731400</v>
      </c>
      <c r="G141">
        <v>4</v>
      </c>
      <c r="H141">
        <v>9.6293808333000008</v>
      </c>
      <c r="I141">
        <v>49.679422666699999</v>
      </c>
      <c r="J141">
        <v>4.6469999999999997E-2</v>
      </c>
      <c r="K141">
        <v>112.21</v>
      </c>
      <c r="L141">
        <v>-1227.8</v>
      </c>
      <c r="M141">
        <v>121.13</v>
      </c>
      <c r="N141">
        <v>167.5</v>
      </c>
      <c r="O141">
        <v>33770</v>
      </c>
      <c r="P141">
        <v>0.14599999999999999</v>
      </c>
      <c r="Q141">
        <v>0.34230999999999701</v>
      </c>
      <c r="R141">
        <v>67.133070000000004</v>
      </c>
      <c r="S141">
        <v>0.13014939393689801</v>
      </c>
      <c r="T141">
        <v>-2.62599999999935E-2</v>
      </c>
      <c r="U141" s="1">
        <v>45846</v>
      </c>
      <c r="V141">
        <v>227731400</v>
      </c>
      <c r="W141">
        <v>4</v>
      </c>
      <c r="X141">
        <v>9.6297069999999998</v>
      </c>
      <c r="Y141">
        <v>49.679455333299998</v>
      </c>
      <c r="Z141">
        <v>4.6899999999999997E-2</v>
      </c>
      <c r="AA141">
        <v>474.77</v>
      </c>
      <c r="AB141">
        <v>1125.74</v>
      </c>
      <c r="AC141">
        <v>192.19</v>
      </c>
      <c r="AD141">
        <v>166.8</v>
      </c>
      <c r="AE141">
        <v>33700</v>
      </c>
      <c r="AF141">
        <v>0.16300000000000001</v>
      </c>
      <c r="AG141">
        <v>9.6295508332999997</v>
      </c>
      <c r="AH141">
        <v>49.6794123333</v>
      </c>
      <c r="AI141">
        <v>12</v>
      </c>
      <c r="AJ141">
        <v>0.49</v>
      </c>
      <c r="AK141">
        <v>168.6</v>
      </c>
      <c r="AL141">
        <v>227731400</v>
      </c>
      <c r="AM141">
        <v>4.2999999999999997E-2</v>
      </c>
    </row>
    <row r="142" spans="1:39" x14ac:dyDescent="0.25">
      <c r="A142">
        <v>0.46692000000001599</v>
      </c>
      <c r="B142">
        <v>275.18783999999999</v>
      </c>
      <c r="C142">
        <v>4.6290909089343101E-2</v>
      </c>
      <c r="D142">
        <v>-3.3779999999978799E-2</v>
      </c>
      <c r="E142" s="1">
        <v>45846</v>
      </c>
      <c r="F142">
        <v>227731600</v>
      </c>
      <c r="G142">
        <v>4</v>
      </c>
      <c r="H142">
        <v>9.6293808333000008</v>
      </c>
      <c r="I142">
        <v>49.679422500000001</v>
      </c>
      <c r="J142">
        <v>4.648E-2</v>
      </c>
      <c r="K142">
        <v>111.47</v>
      </c>
      <c r="L142">
        <v>-1227.77</v>
      </c>
      <c r="M142">
        <v>121.07</v>
      </c>
      <c r="N142">
        <v>167.5</v>
      </c>
      <c r="O142">
        <v>33770</v>
      </c>
      <c r="P142">
        <v>0.127</v>
      </c>
      <c r="Q142">
        <v>0.29975999999999198</v>
      </c>
      <c r="R142">
        <v>67.090519999999998</v>
      </c>
      <c r="S142">
        <v>5.82806060590699E-2</v>
      </c>
      <c r="T142">
        <v>-4.2550000000005597E-2</v>
      </c>
      <c r="U142" s="1">
        <v>45846</v>
      </c>
      <c r="V142">
        <v>227731600</v>
      </c>
      <c r="W142">
        <v>4</v>
      </c>
      <c r="X142">
        <v>9.6297068333000002</v>
      </c>
      <c r="Y142">
        <v>49.679455166700002</v>
      </c>
      <c r="Z142">
        <v>4.6899999999999997E-2</v>
      </c>
      <c r="AA142">
        <v>475.6</v>
      </c>
      <c r="AB142">
        <v>1125.3800000000001</v>
      </c>
      <c r="AC142">
        <v>192.36</v>
      </c>
      <c r="AD142">
        <v>166.7</v>
      </c>
      <c r="AE142">
        <v>33690</v>
      </c>
      <c r="AF142">
        <v>0.17499999999999999</v>
      </c>
      <c r="AG142">
        <v>9.6295508332999997</v>
      </c>
      <c r="AH142">
        <v>49.6794123333</v>
      </c>
      <c r="AI142">
        <v>12</v>
      </c>
      <c r="AJ142">
        <v>0.49</v>
      </c>
      <c r="AK142">
        <v>168.6</v>
      </c>
      <c r="AL142">
        <v>227731600</v>
      </c>
      <c r="AM142">
        <v>4.5999999999999999E-2</v>
      </c>
    </row>
    <row r="143" spans="1:39" x14ac:dyDescent="0.25">
      <c r="A143">
        <v>0.432740000000023</v>
      </c>
      <c r="B143">
        <v>275.15366</v>
      </c>
      <c r="C143">
        <v>-1.81266666611953E-2</v>
      </c>
      <c r="D143">
        <v>-3.4179999999992099E-2</v>
      </c>
      <c r="E143" s="1">
        <v>45846</v>
      </c>
      <c r="F143">
        <v>227731800</v>
      </c>
      <c r="G143">
        <v>4</v>
      </c>
      <c r="H143">
        <v>9.6293808333000008</v>
      </c>
      <c r="I143">
        <v>49.679422500000001</v>
      </c>
      <c r="J143">
        <v>4.648E-2</v>
      </c>
      <c r="K143">
        <v>110.73</v>
      </c>
      <c r="L143">
        <v>-1227.71</v>
      </c>
      <c r="M143">
        <v>120.85</v>
      </c>
      <c r="N143">
        <v>167.5</v>
      </c>
      <c r="O143">
        <v>33770</v>
      </c>
      <c r="P143">
        <v>0.11</v>
      </c>
      <c r="Q143">
        <v>0.228179999999994</v>
      </c>
      <c r="R143">
        <v>67.018940000000001</v>
      </c>
      <c r="S143">
        <v>-2.3275151509874099E-2</v>
      </c>
      <c r="T143">
        <v>-7.1579999999997299E-2</v>
      </c>
      <c r="U143" s="1">
        <v>45846</v>
      </c>
      <c r="V143">
        <v>227731800</v>
      </c>
      <c r="W143">
        <v>4</v>
      </c>
      <c r="X143">
        <v>9.6297068333000002</v>
      </c>
      <c r="Y143">
        <v>49.679455333299998</v>
      </c>
      <c r="Z143">
        <v>4.6870000000000002E-2</v>
      </c>
      <c r="AA143">
        <v>477.25</v>
      </c>
      <c r="AB143">
        <v>1125.3699999999999</v>
      </c>
      <c r="AC143">
        <v>192.91</v>
      </c>
      <c r="AD143">
        <v>166.7</v>
      </c>
      <c r="AE143">
        <v>33690</v>
      </c>
      <c r="AF143">
        <v>0.17100000000000001</v>
      </c>
      <c r="AG143">
        <v>9.6295508332999997</v>
      </c>
      <c r="AH143">
        <v>49.679412166699997</v>
      </c>
      <c r="AI143">
        <v>12</v>
      </c>
      <c r="AJ143">
        <v>0.49</v>
      </c>
      <c r="AK143">
        <v>168.6</v>
      </c>
      <c r="AL143">
        <v>227731800</v>
      </c>
      <c r="AM143">
        <v>4.9000000000000002E-2</v>
      </c>
    </row>
    <row r="144" spans="1:39" x14ac:dyDescent="0.25">
      <c r="A144">
        <v>0.37772000000000999</v>
      </c>
      <c r="B144">
        <v>275.09863999999999</v>
      </c>
      <c r="C144">
        <v>-8.3886060609009896E-2</v>
      </c>
      <c r="D144">
        <v>-5.50200000000131E-2</v>
      </c>
      <c r="E144" s="1">
        <v>45846</v>
      </c>
      <c r="F144">
        <v>227732000</v>
      </c>
      <c r="G144">
        <v>4</v>
      </c>
      <c r="H144">
        <v>9.6293810000000004</v>
      </c>
      <c r="I144">
        <v>49.679422333300003</v>
      </c>
      <c r="J144">
        <v>4.6489999999999997E-2</v>
      </c>
      <c r="K144">
        <v>109.52</v>
      </c>
      <c r="L144">
        <v>-1227.45</v>
      </c>
      <c r="M144">
        <v>120.03</v>
      </c>
      <c r="N144">
        <v>167.5</v>
      </c>
      <c r="O144">
        <v>33770</v>
      </c>
      <c r="P144">
        <v>0.14599999999999999</v>
      </c>
      <c r="Q144">
        <v>0.197539999999989</v>
      </c>
      <c r="R144">
        <v>66.988299999999995</v>
      </c>
      <c r="S144">
        <v>-8.5582424245242303E-2</v>
      </c>
      <c r="T144">
        <v>-3.0640000000005298E-2</v>
      </c>
      <c r="U144" s="1">
        <v>45846</v>
      </c>
      <c r="V144">
        <v>227732000</v>
      </c>
      <c r="W144">
        <v>4</v>
      </c>
      <c r="X144">
        <v>9.6297068333000002</v>
      </c>
      <c r="Y144">
        <v>49.679455500000003</v>
      </c>
      <c r="Z144">
        <v>4.6859999999999999E-2</v>
      </c>
      <c r="AA144">
        <v>477.94</v>
      </c>
      <c r="AB144">
        <v>1125.31</v>
      </c>
      <c r="AC144">
        <v>193.06</v>
      </c>
      <c r="AD144">
        <v>166.7</v>
      </c>
      <c r="AE144">
        <v>33690</v>
      </c>
      <c r="AF144">
        <v>0.156</v>
      </c>
      <c r="AG144">
        <v>9.6295508332999997</v>
      </c>
      <c r="AH144">
        <v>49.679412166699997</v>
      </c>
      <c r="AI144">
        <v>12</v>
      </c>
      <c r="AJ144">
        <v>0.49</v>
      </c>
      <c r="AK144">
        <v>168.6</v>
      </c>
      <c r="AL144">
        <v>227732000</v>
      </c>
      <c r="AM144">
        <v>3.2000000000000001E-2</v>
      </c>
    </row>
    <row r="145" spans="1:39" x14ac:dyDescent="0.25">
      <c r="A145">
        <v>0.35928000000001198</v>
      </c>
      <c r="B145">
        <v>275.08019999999999</v>
      </c>
      <c r="C145">
        <v>-0.130733333348798</v>
      </c>
      <c r="D145">
        <v>-1.8439999999998201E-2</v>
      </c>
      <c r="E145" s="1">
        <v>45846</v>
      </c>
      <c r="F145">
        <v>227732200</v>
      </c>
      <c r="G145">
        <v>4</v>
      </c>
      <c r="H145">
        <v>9.6293810000000004</v>
      </c>
      <c r="I145">
        <v>49.679422333300003</v>
      </c>
      <c r="J145">
        <v>4.65E-2</v>
      </c>
      <c r="K145">
        <v>109.11</v>
      </c>
      <c r="L145">
        <v>-1227.4000000000001</v>
      </c>
      <c r="M145">
        <v>120.2</v>
      </c>
      <c r="N145">
        <v>167.5</v>
      </c>
      <c r="O145">
        <v>33770</v>
      </c>
      <c r="P145">
        <v>0.12</v>
      </c>
      <c r="Q145">
        <v>0.16711999999999699</v>
      </c>
      <c r="R145">
        <v>66.957880000000003</v>
      </c>
      <c r="S145">
        <v>-0.13588787880622499</v>
      </c>
      <c r="T145">
        <v>-3.04199999999923E-2</v>
      </c>
      <c r="U145" s="1">
        <v>45846</v>
      </c>
      <c r="V145">
        <v>227732200</v>
      </c>
      <c r="W145">
        <v>4</v>
      </c>
      <c r="X145">
        <v>9.6297068333000002</v>
      </c>
      <c r="Y145">
        <v>49.679455500000003</v>
      </c>
      <c r="Z145">
        <v>4.6859999999999999E-2</v>
      </c>
      <c r="AA145">
        <v>478.57</v>
      </c>
      <c r="AB145">
        <v>1125.1400000000001</v>
      </c>
      <c r="AC145">
        <v>192.63</v>
      </c>
      <c r="AD145">
        <v>166.7</v>
      </c>
      <c r="AE145">
        <v>33690</v>
      </c>
      <c r="AF145">
        <v>0.16</v>
      </c>
      <c r="AG145">
        <v>9.6295508332999997</v>
      </c>
      <c r="AH145">
        <v>49.679412166699997</v>
      </c>
      <c r="AI145">
        <v>12</v>
      </c>
      <c r="AJ145">
        <v>0.49</v>
      </c>
      <c r="AK145">
        <v>168.6</v>
      </c>
      <c r="AL145">
        <v>227732200</v>
      </c>
      <c r="AM145">
        <v>3.2000000000000001E-2</v>
      </c>
    </row>
    <row r="146" spans="1:39" x14ac:dyDescent="0.25">
      <c r="A146">
        <v>0.32218000000000302</v>
      </c>
      <c r="B146">
        <v>275.04309999999998</v>
      </c>
      <c r="C146">
        <v>-0.163783636360081</v>
      </c>
      <c r="D146">
        <v>-3.7100000000009403E-2</v>
      </c>
      <c r="E146" s="1">
        <v>45846</v>
      </c>
      <c r="F146">
        <v>227732400</v>
      </c>
      <c r="G146">
        <v>4</v>
      </c>
      <c r="H146">
        <v>9.6293810000000004</v>
      </c>
      <c r="I146">
        <v>49.679422333300003</v>
      </c>
      <c r="J146">
        <v>4.6510000000000003E-2</v>
      </c>
      <c r="K146">
        <v>108.29</v>
      </c>
      <c r="L146">
        <v>-1227.0999999999999</v>
      </c>
      <c r="M146">
        <v>120.02</v>
      </c>
      <c r="N146">
        <v>167.5</v>
      </c>
      <c r="O146">
        <v>33770</v>
      </c>
      <c r="P146">
        <v>0.114</v>
      </c>
      <c r="Q146">
        <v>0.144559999999998</v>
      </c>
      <c r="R146">
        <v>66.935320000000004</v>
      </c>
      <c r="S146">
        <v>-0.17710636363267401</v>
      </c>
      <c r="T146">
        <v>-2.2559999999998501E-2</v>
      </c>
      <c r="U146" s="1">
        <v>45846</v>
      </c>
      <c r="V146">
        <v>227732400</v>
      </c>
      <c r="W146">
        <v>4</v>
      </c>
      <c r="X146">
        <v>9.6297068333000002</v>
      </c>
      <c r="Y146">
        <v>49.679455500000003</v>
      </c>
      <c r="Z146">
        <v>4.6859999999999999E-2</v>
      </c>
      <c r="AA146">
        <v>479.06</v>
      </c>
      <c r="AB146">
        <v>1125.05</v>
      </c>
      <c r="AC146">
        <v>193.13</v>
      </c>
      <c r="AD146">
        <v>166.7</v>
      </c>
      <c r="AE146">
        <v>33690</v>
      </c>
      <c r="AF146">
        <v>0.13300000000000001</v>
      </c>
      <c r="AG146">
        <v>9.6295508332999997</v>
      </c>
      <c r="AH146">
        <v>49.679411999999999</v>
      </c>
      <c r="AI146">
        <v>12</v>
      </c>
      <c r="AJ146">
        <v>0.49</v>
      </c>
      <c r="AK146">
        <v>168.6</v>
      </c>
      <c r="AL146">
        <v>227732400</v>
      </c>
      <c r="AM146">
        <v>4.7E-2</v>
      </c>
    </row>
    <row r="147" spans="1:39" x14ac:dyDescent="0.25">
      <c r="A147">
        <v>0.30038000000001802</v>
      </c>
      <c r="B147">
        <v>275.0213</v>
      </c>
      <c r="C147">
        <v>-0.176867272737916</v>
      </c>
      <c r="D147">
        <v>-2.17999999999847E-2</v>
      </c>
      <c r="E147" s="1">
        <v>45846</v>
      </c>
      <c r="F147">
        <v>227732600</v>
      </c>
      <c r="G147">
        <v>4</v>
      </c>
      <c r="H147">
        <v>9.6293806666999995</v>
      </c>
      <c r="I147">
        <v>49.679421666700001</v>
      </c>
      <c r="J147">
        <v>4.65E-2</v>
      </c>
      <c r="K147">
        <v>107.84</v>
      </c>
      <c r="L147">
        <v>-1227.4000000000001</v>
      </c>
      <c r="M147">
        <v>120.08</v>
      </c>
      <c r="N147">
        <v>167.4</v>
      </c>
      <c r="O147">
        <v>33760</v>
      </c>
      <c r="P147">
        <v>9.7000000000000003E-2</v>
      </c>
      <c r="Q147">
        <v>0.12272999999999</v>
      </c>
      <c r="R147">
        <v>66.913489999999996</v>
      </c>
      <c r="S147">
        <v>-0.18647363637478601</v>
      </c>
      <c r="T147">
        <v>-2.1830000000008402E-2</v>
      </c>
      <c r="U147" s="1">
        <v>45846</v>
      </c>
      <c r="V147">
        <v>227732600</v>
      </c>
      <c r="W147">
        <v>4</v>
      </c>
      <c r="X147">
        <v>9.6297066667000006</v>
      </c>
      <c r="Y147">
        <v>49.679455333299998</v>
      </c>
      <c r="Z147">
        <v>4.6859999999999999E-2</v>
      </c>
      <c r="AA147">
        <v>479.48</v>
      </c>
      <c r="AB147">
        <v>1124.8599999999999</v>
      </c>
      <c r="AC147">
        <v>193.37</v>
      </c>
      <c r="AD147">
        <v>166.7</v>
      </c>
      <c r="AE147">
        <v>33690</v>
      </c>
      <c r="AF147">
        <v>8.5000000000000006E-2</v>
      </c>
      <c r="AG147">
        <v>9.6295508332999997</v>
      </c>
      <c r="AH147">
        <v>49.679411999999999</v>
      </c>
      <c r="AI147">
        <v>12</v>
      </c>
      <c r="AJ147">
        <v>0.49</v>
      </c>
      <c r="AK147">
        <v>168.6</v>
      </c>
      <c r="AL147">
        <v>227732600</v>
      </c>
      <c r="AM147">
        <v>2.5999999999999999E-2</v>
      </c>
    </row>
    <row r="148" spans="1:39" x14ac:dyDescent="0.25">
      <c r="A148">
        <v>0.287959999999998</v>
      </c>
      <c r="B148">
        <v>275.00887999999998</v>
      </c>
      <c r="C148">
        <v>-0.170281818175714</v>
      </c>
      <c r="D148">
        <v>-1.242000000002E-2</v>
      </c>
      <c r="E148" s="1">
        <v>45846</v>
      </c>
      <c r="F148">
        <v>227732800</v>
      </c>
      <c r="G148">
        <v>4</v>
      </c>
      <c r="H148">
        <v>9.6293806666999995</v>
      </c>
      <c r="I148">
        <v>49.679421666700001</v>
      </c>
      <c r="J148">
        <v>4.65E-2</v>
      </c>
      <c r="K148">
        <v>107.57</v>
      </c>
      <c r="L148">
        <v>-1227.3599999999999</v>
      </c>
      <c r="M148">
        <v>120.13</v>
      </c>
      <c r="N148">
        <v>167.4</v>
      </c>
      <c r="O148">
        <v>33760</v>
      </c>
      <c r="P148">
        <v>5.5E-2</v>
      </c>
      <c r="Q148">
        <v>0.10457999999999799</v>
      </c>
      <c r="R148">
        <v>66.895340000000004</v>
      </c>
      <c r="S148">
        <v>-0.17865484847839899</v>
      </c>
      <c r="T148">
        <v>-1.8149999999991399E-2</v>
      </c>
      <c r="U148" s="1">
        <v>45846</v>
      </c>
      <c r="V148">
        <v>227732800</v>
      </c>
      <c r="W148">
        <v>4</v>
      </c>
      <c r="X148">
        <v>9.6297066667000006</v>
      </c>
      <c r="Y148">
        <v>49.679455166700002</v>
      </c>
      <c r="Z148">
        <v>4.6850000000000003E-2</v>
      </c>
      <c r="AA148">
        <v>479.86</v>
      </c>
      <c r="AB148">
        <v>1124.77</v>
      </c>
      <c r="AC148">
        <v>193.4</v>
      </c>
      <c r="AD148">
        <v>166.7</v>
      </c>
      <c r="AE148">
        <v>33690</v>
      </c>
      <c r="AF148">
        <v>3.4000000000000002E-2</v>
      </c>
      <c r="AG148">
        <v>9.6295508332999997</v>
      </c>
      <c r="AH148">
        <v>49.679411999999999</v>
      </c>
      <c r="AI148">
        <v>12</v>
      </c>
      <c r="AJ148">
        <v>0.49</v>
      </c>
      <c r="AK148">
        <v>168.6</v>
      </c>
      <c r="AL148">
        <v>227732800</v>
      </c>
      <c r="AM148">
        <v>6.8000000000000005E-2</v>
      </c>
    </row>
    <row r="149" spans="1:39" x14ac:dyDescent="0.25">
      <c r="A149">
        <v>0.28966000000002601</v>
      </c>
      <c r="B149">
        <v>275.01058</v>
      </c>
      <c r="C149">
        <v>-0.15071151515849099</v>
      </c>
      <c r="D149">
        <v>1.7000000000280101E-3</v>
      </c>
      <c r="E149" s="1">
        <v>45846</v>
      </c>
      <c r="F149">
        <v>227733000</v>
      </c>
      <c r="G149">
        <v>4</v>
      </c>
      <c r="H149">
        <v>9.6293806666999995</v>
      </c>
      <c r="I149">
        <v>49.679421666700001</v>
      </c>
      <c r="J149">
        <v>4.6510000000000003E-2</v>
      </c>
      <c r="K149">
        <v>107.6</v>
      </c>
      <c r="L149">
        <v>-1227.25</v>
      </c>
      <c r="M149">
        <v>120.66</v>
      </c>
      <c r="N149">
        <v>167.4</v>
      </c>
      <c r="O149">
        <v>33760</v>
      </c>
      <c r="P149">
        <v>4.9000000000000002E-2</v>
      </c>
      <c r="Q149">
        <v>8.9089999999998698E-2</v>
      </c>
      <c r="R149">
        <v>66.879850000000005</v>
      </c>
      <c r="S149">
        <v>-0.16199575758360199</v>
      </c>
      <c r="T149">
        <v>-1.54899999999997E-2</v>
      </c>
      <c r="U149" s="1">
        <v>45846</v>
      </c>
      <c r="V149">
        <v>227733000</v>
      </c>
      <c r="W149">
        <v>4</v>
      </c>
      <c r="X149">
        <v>9.6297066667000006</v>
      </c>
      <c r="Y149">
        <v>49.679455166700002</v>
      </c>
      <c r="Z149">
        <v>4.6850000000000003E-2</v>
      </c>
      <c r="AA149">
        <v>480.24</v>
      </c>
      <c r="AB149">
        <v>1124.82</v>
      </c>
      <c r="AC149">
        <v>193.45</v>
      </c>
      <c r="AD149">
        <v>166.6</v>
      </c>
      <c r="AE149">
        <v>33679.999999999898</v>
      </c>
      <c r="AF149">
        <v>2.7E-2</v>
      </c>
      <c r="AG149">
        <v>9.6295508332999997</v>
      </c>
      <c r="AH149">
        <v>49.679411999999999</v>
      </c>
      <c r="AI149">
        <v>12</v>
      </c>
      <c r="AJ149">
        <v>0.49</v>
      </c>
      <c r="AK149">
        <v>168.6</v>
      </c>
      <c r="AL149">
        <v>227733000</v>
      </c>
      <c r="AM149">
        <v>1.7999999999999999E-2</v>
      </c>
    </row>
    <row r="150" spans="1:39" x14ac:dyDescent="0.25">
      <c r="A150">
        <v>0.27062000000000802</v>
      </c>
      <c r="B150">
        <v>274.99153999999999</v>
      </c>
      <c r="C150">
        <v>-0.13044121211340501</v>
      </c>
      <c r="D150">
        <v>-1.9040000000018101E-2</v>
      </c>
      <c r="E150" s="1">
        <v>45846</v>
      </c>
      <c r="F150">
        <v>227733200</v>
      </c>
      <c r="G150">
        <v>4</v>
      </c>
      <c r="H150">
        <v>9.6293806666999995</v>
      </c>
      <c r="I150">
        <v>49.679421666700001</v>
      </c>
      <c r="J150">
        <v>4.6510000000000003E-2</v>
      </c>
      <c r="K150">
        <v>107.18</v>
      </c>
      <c r="L150">
        <v>-1227.1500000000001</v>
      </c>
      <c r="M150">
        <v>120.62</v>
      </c>
      <c r="N150">
        <v>167.4</v>
      </c>
      <c r="O150">
        <v>33760</v>
      </c>
      <c r="P150">
        <v>2.8000000000000001E-2</v>
      </c>
      <c r="Q150">
        <v>8.8899999999995302E-2</v>
      </c>
      <c r="R150">
        <v>66.879660000000001</v>
      </c>
      <c r="S150">
        <v>-0.14001121211395501</v>
      </c>
      <c r="T150">
        <v>-1.9000000000346501E-4</v>
      </c>
      <c r="U150" s="1">
        <v>45846</v>
      </c>
      <c r="V150">
        <v>227733200</v>
      </c>
      <c r="W150">
        <v>4</v>
      </c>
      <c r="X150">
        <v>9.6297066667000006</v>
      </c>
      <c r="Y150">
        <v>49.679455166700002</v>
      </c>
      <c r="Z150">
        <v>4.6850000000000003E-2</v>
      </c>
      <c r="AA150">
        <v>480.22</v>
      </c>
      <c r="AB150">
        <v>1124.74</v>
      </c>
      <c r="AC150">
        <v>193.42</v>
      </c>
      <c r="AD150">
        <v>166.6</v>
      </c>
      <c r="AE150">
        <v>33679.999999999898</v>
      </c>
      <c r="AF150">
        <v>1.7000000000000001E-2</v>
      </c>
      <c r="AG150">
        <v>9.6295506667000001</v>
      </c>
      <c r="AH150">
        <v>49.679411833300001</v>
      </c>
      <c r="AI150">
        <v>12</v>
      </c>
      <c r="AJ150">
        <v>0.49</v>
      </c>
      <c r="AK150">
        <v>168.6</v>
      </c>
      <c r="AL150">
        <v>227733200</v>
      </c>
      <c r="AM150">
        <v>2.5999999999999999E-2</v>
      </c>
    </row>
    <row r="151" spans="1:39" x14ac:dyDescent="0.25">
      <c r="A151">
        <v>0.27757999999999999</v>
      </c>
      <c r="B151">
        <v>274.99849999999998</v>
      </c>
      <c r="C151">
        <v>-0.10651393938902</v>
      </c>
      <c r="D151">
        <v>6.9599999999922996E-3</v>
      </c>
      <c r="E151" s="1">
        <v>45846</v>
      </c>
      <c r="F151">
        <v>227733400</v>
      </c>
      <c r="G151">
        <v>4</v>
      </c>
      <c r="H151">
        <v>9.6293806666999995</v>
      </c>
      <c r="I151">
        <v>49.679421666700001</v>
      </c>
      <c r="J151">
        <v>4.6510000000000003E-2</v>
      </c>
      <c r="K151">
        <v>107.34</v>
      </c>
      <c r="L151">
        <v>-1227.22</v>
      </c>
      <c r="M151">
        <v>120.28</v>
      </c>
      <c r="N151">
        <v>167.4</v>
      </c>
      <c r="O151">
        <v>33750</v>
      </c>
      <c r="P151">
        <v>3.9E-2</v>
      </c>
      <c r="Q151">
        <v>8.1579999999988204E-2</v>
      </c>
      <c r="R151">
        <v>66.872339999999994</v>
      </c>
      <c r="S151">
        <v>-0.111826666662274</v>
      </c>
      <c r="T151">
        <v>-7.3200000000070899E-3</v>
      </c>
      <c r="U151" s="1">
        <v>45846</v>
      </c>
      <c r="V151">
        <v>227733400</v>
      </c>
      <c r="W151">
        <v>4</v>
      </c>
      <c r="X151">
        <v>9.6297066667000006</v>
      </c>
      <c r="Y151">
        <v>49.679455166700002</v>
      </c>
      <c r="Z151">
        <v>4.6850000000000003E-2</v>
      </c>
      <c r="AA151">
        <v>480.37</v>
      </c>
      <c r="AB151">
        <v>1124.7</v>
      </c>
      <c r="AC151">
        <v>193.07</v>
      </c>
      <c r="AD151">
        <v>166.6</v>
      </c>
      <c r="AE151">
        <v>33670</v>
      </c>
      <c r="AF151">
        <v>2.8000000000000001E-2</v>
      </c>
      <c r="AG151">
        <v>9.6295506667000001</v>
      </c>
      <c r="AH151">
        <v>49.679411833300001</v>
      </c>
      <c r="AI151">
        <v>12</v>
      </c>
      <c r="AJ151">
        <v>0.49</v>
      </c>
      <c r="AK151">
        <v>168.5</v>
      </c>
      <c r="AL151">
        <v>227733400</v>
      </c>
      <c r="AM151">
        <v>2.7E-2</v>
      </c>
    </row>
    <row r="152" spans="1:39" x14ac:dyDescent="0.25">
      <c r="A152">
        <v>0.293920000000014</v>
      </c>
      <c r="B152">
        <v>275.01483999999999</v>
      </c>
      <c r="C152">
        <v>-7.5867878787111903E-2</v>
      </c>
      <c r="D152">
        <v>1.6340000000013701E-2</v>
      </c>
      <c r="E152" s="1">
        <v>45846</v>
      </c>
      <c r="F152">
        <v>227733600</v>
      </c>
      <c r="G152">
        <v>4</v>
      </c>
      <c r="H152">
        <v>9.6293806666999995</v>
      </c>
      <c r="I152">
        <v>49.679421499999997</v>
      </c>
      <c r="J152">
        <v>4.65E-2</v>
      </c>
      <c r="K152">
        <v>107.7</v>
      </c>
      <c r="L152">
        <v>-1227.33</v>
      </c>
      <c r="M152">
        <v>120.27</v>
      </c>
      <c r="N152">
        <v>167.3</v>
      </c>
      <c r="O152">
        <v>33740</v>
      </c>
      <c r="P152">
        <v>0.05</v>
      </c>
      <c r="Q152">
        <v>8.4579999999988303E-2</v>
      </c>
      <c r="R152">
        <v>66.875339999999994</v>
      </c>
      <c r="S152">
        <v>-8.1205454544196601E-2</v>
      </c>
      <c r="T152">
        <v>3.0000000000001098E-3</v>
      </c>
      <c r="U152" s="1">
        <v>45846</v>
      </c>
      <c r="V152">
        <v>227733600</v>
      </c>
      <c r="W152">
        <v>4</v>
      </c>
      <c r="X152">
        <v>9.6297066667000006</v>
      </c>
      <c r="Y152">
        <v>49.679455166700002</v>
      </c>
      <c r="Z152">
        <v>4.6850000000000003E-2</v>
      </c>
      <c r="AA152">
        <v>480.29</v>
      </c>
      <c r="AB152">
        <v>1124.69</v>
      </c>
      <c r="AC152">
        <v>193.39</v>
      </c>
      <c r="AD152">
        <v>166.6</v>
      </c>
      <c r="AE152">
        <v>33670</v>
      </c>
      <c r="AF152">
        <v>4.3999999999999997E-2</v>
      </c>
      <c r="AG152">
        <v>9.6295508332999997</v>
      </c>
      <c r="AH152">
        <v>49.679411833300001</v>
      </c>
      <c r="AI152">
        <v>12</v>
      </c>
      <c r="AJ152">
        <v>0.49</v>
      </c>
      <c r="AK152">
        <v>168.5</v>
      </c>
      <c r="AL152">
        <v>227733600</v>
      </c>
      <c r="AM152">
        <v>7.2999999999999995E-2</v>
      </c>
    </row>
    <row r="153" spans="1:39" x14ac:dyDescent="0.25">
      <c r="A153">
        <v>0.27676000000002399</v>
      </c>
      <c r="B153">
        <v>274.99768</v>
      </c>
      <c r="C153">
        <v>-5.0810303031049102E-2</v>
      </c>
      <c r="D153">
        <v>-1.7159999999989801E-2</v>
      </c>
      <c r="E153" s="1">
        <v>45846</v>
      </c>
      <c r="F153">
        <v>227733800</v>
      </c>
      <c r="G153">
        <v>4</v>
      </c>
      <c r="H153">
        <v>9.6293808333000008</v>
      </c>
      <c r="I153">
        <v>49.679421333299999</v>
      </c>
      <c r="J153">
        <v>4.6510000000000003E-2</v>
      </c>
      <c r="K153">
        <v>107.31</v>
      </c>
      <c r="L153">
        <v>-1227.0999999999999</v>
      </c>
      <c r="M153">
        <v>120.04</v>
      </c>
      <c r="N153">
        <v>167.3</v>
      </c>
      <c r="O153">
        <v>33740</v>
      </c>
      <c r="P153">
        <v>0.109</v>
      </c>
      <c r="Q153">
        <v>9.8039999999997393E-2</v>
      </c>
      <c r="R153">
        <v>66.888800000000003</v>
      </c>
      <c r="S153">
        <v>-5.7732121213094102E-2</v>
      </c>
      <c r="T153">
        <v>1.34600000000091E-2</v>
      </c>
      <c r="U153" s="1">
        <v>45846</v>
      </c>
      <c r="V153">
        <v>227733800</v>
      </c>
      <c r="W153">
        <v>4</v>
      </c>
      <c r="X153">
        <v>9.6297066667000006</v>
      </c>
      <c r="Y153">
        <v>49.679454999999997</v>
      </c>
      <c r="Z153">
        <v>4.6850000000000003E-2</v>
      </c>
      <c r="AA153">
        <v>480</v>
      </c>
      <c r="AB153">
        <v>1124.73</v>
      </c>
      <c r="AC153">
        <v>192.8</v>
      </c>
      <c r="AD153">
        <v>166.6</v>
      </c>
      <c r="AE153">
        <v>33670</v>
      </c>
      <c r="AF153">
        <v>5.8999999999999997E-2</v>
      </c>
      <c r="AG153">
        <v>9.6295508332999997</v>
      </c>
      <c r="AH153">
        <v>49.679411666699998</v>
      </c>
      <c r="AI153">
        <v>12</v>
      </c>
      <c r="AJ153">
        <v>0.49</v>
      </c>
      <c r="AK153">
        <v>168.5</v>
      </c>
      <c r="AL153">
        <v>227733800</v>
      </c>
      <c r="AM153">
        <v>5.2999999999999999E-2</v>
      </c>
    </row>
    <row r="154" spans="1:39" x14ac:dyDescent="0.25">
      <c r="A154">
        <v>0.30954000000002602</v>
      </c>
      <c r="B154">
        <v>275.03046000000001</v>
      </c>
      <c r="C154">
        <v>-2.5699393938884499E-2</v>
      </c>
      <c r="D154">
        <v>3.2780000000002397E-2</v>
      </c>
      <c r="E154" s="1">
        <v>45846</v>
      </c>
      <c r="F154">
        <v>227734000</v>
      </c>
      <c r="G154">
        <v>4</v>
      </c>
      <c r="H154">
        <v>9.6293808333000008</v>
      </c>
      <c r="I154">
        <v>49.679421499999997</v>
      </c>
      <c r="J154">
        <v>4.65E-2</v>
      </c>
      <c r="K154">
        <v>108.04</v>
      </c>
      <c r="L154">
        <v>-1227.3900000000001</v>
      </c>
      <c r="M154">
        <v>120.54</v>
      </c>
      <c r="N154">
        <v>167.3</v>
      </c>
      <c r="O154">
        <v>33740</v>
      </c>
      <c r="P154">
        <v>8.3000000000000004E-2</v>
      </c>
      <c r="Q154">
        <v>0.128439999999997</v>
      </c>
      <c r="R154">
        <v>66.919200000000004</v>
      </c>
      <c r="S154">
        <v>-2.8293939393746099E-2</v>
      </c>
      <c r="T154">
        <v>3.0400000000000201E-2</v>
      </c>
      <c r="U154" s="1">
        <v>45846</v>
      </c>
      <c r="V154">
        <v>227734000</v>
      </c>
      <c r="W154">
        <v>4</v>
      </c>
      <c r="X154">
        <v>9.6297066667000006</v>
      </c>
      <c r="Y154">
        <v>49.679454833299999</v>
      </c>
      <c r="Z154">
        <v>4.6870000000000002E-2</v>
      </c>
      <c r="AA154">
        <v>479.26</v>
      </c>
      <c r="AB154">
        <v>1124.6500000000001</v>
      </c>
      <c r="AC154">
        <v>192.91</v>
      </c>
      <c r="AD154">
        <v>166.6</v>
      </c>
      <c r="AE154">
        <v>33670</v>
      </c>
      <c r="AF154">
        <v>7.8E-2</v>
      </c>
      <c r="AG154">
        <v>9.6295508332999997</v>
      </c>
      <c r="AH154">
        <v>49.679411666699998</v>
      </c>
      <c r="AI154">
        <v>12</v>
      </c>
      <c r="AJ154">
        <v>0.49</v>
      </c>
      <c r="AK154">
        <v>168.5</v>
      </c>
      <c r="AL154">
        <v>227734000</v>
      </c>
      <c r="AM154">
        <v>2.7E-2</v>
      </c>
    </row>
    <row r="155" spans="1:39" x14ac:dyDescent="0.25">
      <c r="A155">
        <v>0.32724000000001702</v>
      </c>
      <c r="B155">
        <v>275.04816</v>
      </c>
      <c r="C155">
        <v>2.2242424242394001E-3</v>
      </c>
      <c r="D155">
        <v>1.7699999999990699E-2</v>
      </c>
      <c r="E155" s="1">
        <v>45846</v>
      </c>
      <c r="F155">
        <v>227734200</v>
      </c>
      <c r="G155">
        <v>4</v>
      </c>
      <c r="H155">
        <v>9.6293808333000008</v>
      </c>
      <c r="I155">
        <v>49.679421499999997</v>
      </c>
      <c r="J155">
        <v>4.65E-2</v>
      </c>
      <c r="K155">
        <v>108.42</v>
      </c>
      <c r="L155">
        <v>-1227.3900000000001</v>
      </c>
      <c r="M155">
        <v>120.04</v>
      </c>
      <c r="N155">
        <v>167.3</v>
      </c>
      <c r="O155">
        <v>33740</v>
      </c>
      <c r="P155">
        <v>7.6999999999999999E-2</v>
      </c>
      <c r="Q155">
        <v>0.14891999999998901</v>
      </c>
      <c r="R155">
        <v>66.939679999999996</v>
      </c>
      <c r="S155">
        <v>7.7757575740701305E-4</v>
      </c>
      <c r="T155">
        <v>2.0479999999992001E-2</v>
      </c>
      <c r="U155" s="1">
        <v>45846</v>
      </c>
      <c r="V155">
        <v>227734200</v>
      </c>
      <c r="W155">
        <v>4</v>
      </c>
      <c r="X155">
        <v>9.6297066667000006</v>
      </c>
      <c r="Y155">
        <v>49.679454666700003</v>
      </c>
      <c r="Z155">
        <v>4.6870000000000002E-2</v>
      </c>
      <c r="AA155">
        <v>478.87</v>
      </c>
      <c r="AB155">
        <v>1124.8499999999999</v>
      </c>
      <c r="AC155">
        <v>192.96</v>
      </c>
      <c r="AD155">
        <v>166.6</v>
      </c>
      <c r="AE155">
        <v>33670</v>
      </c>
      <c r="AF155">
        <v>0.10199999999999999</v>
      </c>
      <c r="AG155">
        <v>9.6295508332999997</v>
      </c>
      <c r="AH155">
        <v>49.679411666699998</v>
      </c>
      <c r="AI155">
        <v>12</v>
      </c>
      <c r="AJ155">
        <v>0.49</v>
      </c>
      <c r="AK155">
        <v>168.5</v>
      </c>
      <c r="AL155">
        <v>227734200</v>
      </c>
      <c r="AM155">
        <v>2.5999999999999999E-2</v>
      </c>
    </row>
    <row r="156" spans="1:39" x14ac:dyDescent="0.25">
      <c r="A156">
        <v>0.34914000000003398</v>
      </c>
      <c r="B156">
        <v>275.07006000000001</v>
      </c>
      <c r="C156">
        <v>2.5695757575113401E-2</v>
      </c>
      <c r="D156">
        <v>2.1900000000016399E-2</v>
      </c>
      <c r="E156" s="1">
        <v>45846</v>
      </c>
      <c r="F156">
        <v>227734400</v>
      </c>
      <c r="G156">
        <v>4</v>
      </c>
      <c r="H156">
        <v>9.6293806666999995</v>
      </c>
      <c r="I156">
        <v>49.679421499999997</v>
      </c>
      <c r="J156">
        <v>4.6489999999999997E-2</v>
      </c>
      <c r="K156">
        <v>108.91</v>
      </c>
      <c r="L156">
        <v>-1227.51</v>
      </c>
      <c r="M156">
        <v>120.31</v>
      </c>
      <c r="N156">
        <v>167.3</v>
      </c>
      <c r="O156">
        <v>33740</v>
      </c>
      <c r="P156">
        <v>0.09</v>
      </c>
      <c r="Q156">
        <v>0.168679999999994</v>
      </c>
      <c r="R156">
        <v>66.959440000000001</v>
      </c>
      <c r="S156">
        <v>2.88212121203144E-2</v>
      </c>
      <c r="T156">
        <v>1.97600000000051E-2</v>
      </c>
      <c r="U156" s="1">
        <v>45846</v>
      </c>
      <c r="V156">
        <v>227734400</v>
      </c>
      <c r="W156">
        <v>4</v>
      </c>
      <c r="X156">
        <v>9.6297066667000006</v>
      </c>
      <c r="Y156">
        <v>49.679454666700003</v>
      </c>
      <c r="Z156">
        <v>4.6870000000000002E-2</v>
      </c>
      <c r="AA156">
        <v>478.43</v>
      </c>
      <c r="AB156">
        <v>1124.9000000000001</v>
      </c>
      <c r="AC156">
        <v>193.09</v>
      </c>
      <c r="AD156">
        <v>166.6</v>
      </c>
      <c r="AE156">
        <v>33670</v>
      </c>
      <c r="AF156">
        <v>5.7000000000000002E-2</v>
      </c>
      <c r="AG156">
        <v>9.6295508332999997</v>
      </c>
      <c r="AH156">
        <v>49.679411666699998</v>
      </c>
      <c r="AI156">
        <v>12</v>
      </c>
      <c r="AJ156">
        <v>0.49</v>
      </c>
      <c r="AK156">
        <v>168.5</v>
      </c>
      <c r="AL156">
        <v>227734400</v>
      </c>
      <c r="AM156">
        <v>3.5000000000000003E-2</v>
      </c>
    </row>
    <row r="157" spans="1:39" x14ac:dyDescent="0.25">
      <c r="A157">
        <v>0.37378000000000999</v>
      </c>
      <c r="B157">
        <v>275.09469999999999</v>
      </c>
      <c r="C157">
        <v>4.6986666668488601E-2</v>
      </c>
      <c r="D157">
        <v>2.4639999999976601E-2</v>
      </c>
      <c r="E157" s="1">
        <v>45846</v>
      </c>
      <c r="F157">
        <v>227734600</v>
      </c>
      <c r="G157">
        <v>4</v>
      </c>
      <c r="H157">
        <v>9.6293806666999995</v>
      </c>
      <c r="I157">
        <v>49.679421499999997</v>
      </c>
      <c r="J157">
        <v>4.6489999999999997E-2</v>
      </c>
      <c r="K157">
        <v>109.45</v>
      </c>
      <c r="L157">
        <v>-1227.68</v>
      </c>
      <c r="M157">
        <v>119.96</v>
      </c>
      <c r="N157">
        <v>167.3</v>
      </c>
      <c r="O157">
        <v>33740</v>
      </c>
      <c r="P157">
        <v>0.122</v>
      </c>
      <c r="Q157">
        <v>0.19239999999999199</v>
      </c>
      <c r="R157">
        <v>66.983159999999998</v>
      </c>
      <c r="S157">
        <v>5.4595454547778498E-2</v>
      </c>
      <c r="T157">
        <v>2.3719999999997299E-2</v>
      </c>
      <c r="U157" s="1">
        <v>45846</v>
      </c>
      <c r="V157">
        <v>227734600</v>
      </c>
      <c r="W157">
        <v>4</v>
      </c>
      <c r="X157">
        <v>9.6297066667000006</v>
      </c>
      <c r="Y157">
        <v>49.679454666700003</v>
      </c>
      <c r="Z157">
        <v>4.6879999999999998E-2</v>
      </c>
      <c r="AA157">
        <v>477.9</v>
      </c>
      <c r="AB157">
        <v>1124.95</v>
      </c>
      <c r="AC157">
        <v>192.37</v>
      </c>
      <c r="AD157">
        <v>166.6</v>
      </c>
      <c r="AE157">
        <v>33670</v>
      </c>
      <c r="AF157">
        <v>0.11</v>
      </c>
      <c r="AG157">
        <v>9.6295508332999997</v>
      </c>
      <c r="AH157">
        <v>49.679411500000001</v>
      </c>
      <c r="AI157">
        <v>12</v>
      </c>
      <c r="AJ157">
        <v>0.49</v>
      </c>
      <c r="AK157">
        <v>168.5</v>
      </c>
      <c r="AL157">
        <v>227734600</v>
      </c>
      <c r="AM157">
        <v>0.02</v>
      </c>
    </row>
    <row r="158" spans="1:39" x14ac:dyDescent="0.25">
      <c r="A158">
        <v>0.38928000000004198</v>
      </c>
      <c r="B158">
        <v>275.11020000000002</v>
      </c>
      <c r="C158">
        <v>6.3916363638217205E-2</v>
      </c>
      <c r="D158">
        <v>1.55000000000313E-2</v>
      </c>
      <c r="E158" s="1">
        <v>45846</v>
      </c>
      <c r="F158">
        <v>227734800</v>
      </c>
      <c r="G158">
        <v>4</v>
      </c>
      <c r="H158">
        <v>9.6293806666999995</v>
      </c>
      <c r="I158">
        <v>49.679421499999997</v>
      </c>
      <c r="J158">
        <v>4.6489999999999997E-2</v>
      </c>
      <c r="K158">
        <v>109.78</v>
      </c>
      <c r="L158">
        <v>-1227.6400000000001</v>
      </c>
      <c r="M158">
        <v>120.06</v>
      </c>
      <c r="N158">
        <v>167.3</v>
      </c>
      <c r="O158">
        <v>33740</v>
      </c>
      <c r="P158">
        <v>7.1999999999999995E-2</v>
      </c>
      <c r="Q158">
        <v>0.20862999999999901</v>
      </c>
      <c r="R158">
        <v>66.999390000000005</v>
      </c>
      <c r="S158">
        <v>7.45236363656607E-2</v>
      </c>
      <c r="T158">
        <v>1.62300000000072E-2</v>
      </c>
      <c r="U158" s="1">
        <v>45846</v>
      </c>
      <c r="V158">
        <v>227734800</v>
      </c>
      <c r="W158">
        <v>4</v>
      </c>
      <c r="X158">
        <v>9.6297066667000006</v>
      </c>
      <c r="Y158">
        <v>49.679454499999999</v>
      </c>
      <c r="Z158">
        <v>4.6870000000000002E-2</v>
      </c>
      <c r="AA158">
        <v>477.64</v>
      </c>
      <c r="AB158">
        <v>1125.22</v>
      </c>
      <c r="AC158">
        <v>192.69</v>
      </c>
      <c r="AD158">
        <v>166.6</v>
      </c>
      <c r="AE158">
        <v>33670</v>
      </c>
      <c r="AF158">
        <v>0.108</v>
      </c>
      <c r="AG158">
        <v>9.6295508332999997</v>
      </c>
      <c r="AH158">
        <v>49.679411500000001</v>
      </c>
      <c r="AI158">
        <v>12</v>
      </c>
      <c r="AJ158">
        <v>0.49</v>
      </c>
      <c r="AK158">
        <v>168.5</v>
      </c>
      <c r="AL158">
        <v>227734800</v>
      </c>
      <c r="AM158">
        <v>2.5000000000000001E-2</v>
      </c>
    </row>
    <row r="159" spans="1:39" x14ac:dyDescent="0.25">
      <c r="A159">
        <v>0.417959999999993</v>
      </c>
      <c r="B159">
        <v>275.13887999999997</v>
      </c>
      <c r="C159">
        <v>8.30939393987251E-2</v>
      </c>
      <c r="D159">
        <v>2.8679999999951598E-2</v>
      </c>
      <c r="E159" s="1">
        <v>45846</v>
      </c>
      <c r="F159">
        <v>227735000</v>
      </c>
      <c r="G159">
        <v>4</v>
      </c>
      <c r="H159">
        <v>9.6293806666999995</v>
      </c>
      <c r="I159">
        <v>49.679421499999997</v>
      </c>
      <c r="J159">
        <v>4.648E-2</v>
      </c>
      <c r="K159">
        <v>110.41</v>
      </c>
      <c r="L159">
        <v>-1227.73</v>
      </c>
      <c r="M159">
        <v>119.67</v>
      </c>
      <c r="N159">
        <v>167.3</v>
      </c>
      <c r="O159">
        <v>33740</v>
      </c>
      <c r="P159">
        <v>0.106</v>
      </c>
      <c r="Q159">
        <v>0.22205999999999901</v>
      </c>
      <c r="R159">
        <v>67.012820000000005</v>
      </c>
      <c r="S159">
        <v>8.6645151520488004E-2</v>
      </c>
      <c r="T159">
        <v>1.34299999999996E-2</v>
      </c>
      <c r="U159" s="1">
        <v>45846</v>
      </c>
      <c r="V159">
        <v>227735000</v>
      </c>
      <c r="W159">
        <v>4</v>
      </c>
      <c r="X159">
        <v>9.6297066667000006</v>
      </c>
      <c r="Y159">
        <v>49.679454499999999</v>
      </c>
      <c r="Z159">
        <v>4.6879999999999998E-2</v>
      </c>
      <c r="AA159">
        <v>477.34</v>
      </c>
      <c r="AB159">
        <v>1125.24</v>
      </c>
      <c r="AC159">
        <v>192.46</v>
      </c>
      <c r="AD159">
        <v>166.6</v>
      </c>
      <c r="AE159">
        <v>33670</v>
      </c>
      <c r="AF159">
        <v>6.5000000000000002E-2</v>
      </c>
      <c r="AG159">
        <v>9.6295508332999997</v>
      </c>
      <c r="AH159">
        <v>49.679411500000001</v>
      </c>
      <c r="AI159">
        <v>12</v>
      </c>
      <c r="AJ159">
        <v>0.49</v>
      </c>
      <c r="AK159">
        <v>168.5</v>
      </c>
      <c r="AL159">
        <v>227735000</v>
      </c>
      <c r="AM159">
        <v>6.4000000000000001E-2</v>
      </c>
    </row>
    <row r="160" spans="1:39" x14ac:dyDescent="0.25">
      <c r="A160">
        <v>0.43808000000001301</v>
      </c>
      <c r="B160">
        <v>275.15899999999999</v>
      </c>
      <c r="C160">
        <v>9.3636363630612604E-2</v>
      </c>
      <c r="D160">
        <v>2.01200000000199E-2</v>
      </c>
      <c r="E160" s="1">
        <v>45846</v>
      </c>
      <c r="F160">
        <v>227735200</v>
      </c>
      <c r="G160">
        <v>4</v>
      </c>
      <c r="H160">
        <v>9.6293806666999995</v>
      </c>
      <c r="I160">
        <v>49.679421499999997</v>
      </c>
      <c r="J160">
        <v>4.6469999999999997E-2</v>
      </c>
      <c r="K160">
        <v>110.86</v>
      </c>
      <c r="L160">
        <v>-1227.9100000000001</v>
      </c>
      <c r="M160">
        <v>120.42</v>
      </c>
      <c r="N160">
        <v>167.3</v>
      </c>
      <c r="O160">
        <v>33740</v>
      </c>
      <c r="P160">
        <v>9.2999999999999999E-2</v>
      </c>
      <c r="Q160">
        <v>0.29589999999998801</v>
      </c>
      <c r="R160">
        <v>67.086659999999995</v>
      </c>
      <c r="S160">
        <v>0.11078272726603799</v>
      </c>
      <c r="T160">
        <v>7.38399999999899E-2</v>
      </c>
      <c r="U160" s="1">
        <v>45846</v>
      </c>
      <c r="V160">
        <v>227735200</v>
      </c>
      <c r="W160">
        <v>4</v>
      </c>
      <c r="X160">
        <v>9.6297066667000006</v>
      </c>
      <c r="Y160">
        <v>49.679454166699998</v>
      </c>
      <c r="Z160">
        <v>4.6899999999999997E-2</v>
      </c>
      <c r="AA160">
        <v>475.62</v>
      </c>
      <c r="AB160">
        <v>1125.21</v>
      </c>
      <c r="AC160">
        <v>192.36</v>
      </c>
      <c r="AD160">
        <v>166.6</v>
      </c>
      <c r="AE160">
        <v>33670</v>
      </c>
      <c r="AF160">
        <v>0.114</v>
      </c>
      <c r="AG160">
        <v>9.6295508332999997</v>
      </c>
      <c r="AH160">
        <v>49.679411500000001</v>
      </c>
      <c r="AI160">
        <v>12</v>
      </c>
      <c r="AJ160">
        <v>0.49</v>
      </c>
      <c r="AK160">
        <v>168.5</v>
      </c>
      <c r="AL160">
        <v>227735200</v>
      </c>
      <c r="AM160">
        <v>2.8000000000000001E-2</v>
      </c>
    </row>
    <row r="161" spans="1:39" x14ac:dyDescent="0.25">
      <c r="A161">
        <v>0.46172000000001301</v>
      </c>
      <c r="B161">
        <v>275.18263999999999</v>
      </c>
      <c r="C161">
        <v>0.102796969691026</v>
      </c>
      <c r="D161">
        <v>2.36400000000003E-2</v>
      </c>
      <c r="E161" s="1">
        <v>45846</v>
      </c>
      <c r="F161">
        <v>227735400</v>
      </c>
      <c r="G161">
        <v>4</v>
      </c>
      <c r="H161">
        <v>9.6293806666999995</v>
      </c>
      <c r="I161">
        <v>49.679421499999997</v>
      </c>
      <c r="J161">
        <v>4.648E-2</v>
      </c>
      <c r="K161">
        <v>111.36</v>
      </c>
      <c r="L161">
        <v>-1227.76</v>
      </c>
      <c r="M161">
        <v>120.16</v>
      </c>
      <c r="N161">
        <v>167.3</v>
      </c>
      <c r="O161">
        <v>33740</v>
      </c>
      <c r="P161">
        <v>5.3999999999999999E-2</v>
      </c>
      <c r="Q161">
        <v>0.28507999999999301</v>
      </c>
      <c r="R161">
        <v>67.075839999999999</v>
      </c>
      <c r="S161">
        <v>0.116983939388121</v>
      </c>
      <c r="T161">
        <v>-1.08199999999953E-2</v>
      </c>
      <c r="U161" s="1">
        <v>45846</v>
      </c>
      <c r="V161">
        <v>227735400</v>
      </c>
      <c r="W161">
        <v>4</v>
      </c>
      <c r="X161">
        <v>9.6297066667000006</v>
      </c>
      <c r="Y161">
        <v>49.679454333300001</v>
      </c>
      <c r="Z161">
        <v>4.6890000000000001E-2</v>
      </c>
      <c r="AA161">
        <v>475.96</v>
      </c>
      <c r="AB161">
        <v>1125.42</v>
      </c>
      <c r="AC161">
        <v>191.86</v>
      </c>
      <c r="AD161">
        <v>166.6</v>
      </c>
      <c r="AE161">
        <v>33670</v>
      </c>
      <c r="AF161">
        <v>6.8000000000000005E-2</v>
      </c>
      <c r="AG161">
        <v>9.6295508332999997</v>
      </c>
      <c r="AH161">
        <v>49.679411333300003</v>
      </c>
      <c r="AI161">
        <v>12</v>
      </c>
      <c r="AJ161">
        <v>0.49</v>
      </c>
      <c r="AK161">
        <v>168.5</v>
      </c>
      <c r="AL161">
        <v>227735400</v>
      </c>
      <c r="AM161">
        <v>2.1999999999999999E-2</v>
      </c>
    </row>
    <row r="162" spans="1:39" x14ac:dyDescent="0.25">
      <c r="A162">
        <v>0.48972000000003302</v>
      </c>
      <c r="B162">
        <v>275.21064000000001</v>
      </c>
      <c r="C162">
        <v>0.11388060606103299</v>
      </c>
      <c r="D162">
        <v>2.8000000000019998E-2</v>
      </c>
      <c r="E162" s="1">
        <v>45846</v>
      </c>
      <c r="F162">
        <v>227735600</v>
      </c>
      <c r="G162">
        <v>4</v>
      </c>
      <c r="H162">
        <v>9.6293806666999995</v>
      </c>
      <c r="I162">
        <v>49.679421499999997</v>
      </c>
      <c r="J162">
        <v>4.6460000000000001E-2</v>
      </c>
      <c r="K162">
        <v>111.99</v>
      </c>
      <c r="L162">
        <v>-1228.01</v>
      </c>
      <c r="M162">
        <v>120.29</v>
      </c>
      <c r="N162">
        <v>167.3</v>
      </c>
      <c r="O162">
        <v>33740</v>
      </c>
      <c r="P162">
        <v>6.3E-2</v>
      </c>
      <c r="Q162">
        <v>0.328369999999992</v>
      </c>
      <c r="R162">
        <v>67.119129999999998</v>
      </c>
      <c r="S162">
        <v>0.123658181818567</v>
      </c>
      <c r="T162">
        <v>4.3289999999998899E-2</v>
      </c>
      <c r="U162" s="1">
        <v>45846</v>
      </c>
      <c r="V162">
        <v>227735600</v>
      </c>
      <c r="W162">
        <v>4</v>
      </c>
      <c r="X162">
        <v>9.6297066667000006</v>
      </c>
      <c r="Y162">
        <v>49.679454166699998</v>
      </c>
      <c r="Z162">
        <v>4.6899999999999997E-2</v>
      </c>
      <c r="AA162">
        <v>474.97</v>
      </c>
      <c r="AB162">
        <v>1125.46</v>
      </c>
      <c r="AC162">
        <v>191.97</v>
      </c>
      <c r="AD162">
        <v>166.6</v>
      </c>
      <c r="AE162">
        <v>33670</v>
      </c>
      <c r="AF162">
        <v>7.0000000000000007E-2</v>
      </c>
      <c r="AG162">
        <v>9.6295508332999997</v>
      </c>
      <c r="AH162">
        <v>49.679411333300003</v>
      </c>
      <c r="AI162">
        <v>12</v>
      </c>
      <c r="AJ162">
        <v>0.49</v>
      </c>
      <c r="AK162">
        <v>168.5</v>
      </c>
      <c r="AL162">
        <v>227735600</v>
      </c>
      <c r="AM162">
        <v>2.5999999999999999E-2</v>
      </c>
    </row>
    <row r="163" spans="1:39" x14ac:dyDescent="0.25">
      <c r="A163">
        <v>0.48940000000004602</v>
      </c>
      <c r="B163">
        <v>275.21032000000002</v>
      </c>
      <c r="C163">
        <v>0.107290303039603</v>
      </c>
      <c r="D163">
        <v>-3.1999999998788499E-4</v>
      </c>
      <c r="E163" s="1">
        <v>45846</v>
      </c>
      <c r="F163">
        <v>227735800</v>
      </c>
      <c r="G163">
        <v>4</v>
      </c>
      <c r="H163">
        <v>9.6293806666999995</v>
      </c>
      <c r="I163">
        <v>49.679421333299999</v>
      </c>
      <c r="J163">
        <v>4.6469999999999997E-2</v>
      </c>
      <c r="K163">
        <v>111.97</v>
      </c>
      <c r="L163">
        <v>-1227.94</v>
      </c>
      <c r="M163">
        <v>120.47</v>
      </c>
      <c r="N163">
        <v>167.3</v>
      </c>
      <c r="O163">
        <v>33730</v>
      </c>
      <c r="P163">
        <v>7.5999999999999998E-2</v>
      </c>
      <c r="Q163">
        <v>0.298339999999996</v>
      </c>
      <c r="R163">
        <v>67.089100000000002</v>
      </c>
      <c r="S163">
        <v>0.111853939403914</v>
      </c>
      <c r="T163">
        <v>-3.00299999999964E-2</v>
      </c>
      <c r="U163" s="1">
        <v>45846</v>
      </c>
      <c r="V163">
        <v>227735800</v>
      </c>
      <c r="W163">
        <v>4</v>
      </c>
      <c r="X163">
        <v>9.6297068333000002</v>
      </c>
      <c r="Y163">
        <v>49.679454166699998</v>
      </c>
      <c r="Z163">
        <v>4.6890000000000001E-2</v>
      </c>
      <c r="AA163">
        <v>475.66</v>
      </c>
      <c r="AB163">
        <v>1125.45</v>
      </c>
      <c r="AC163">
        <v>192.39</v>
      </c>
      <c r="AD163">
        <v>166.5</v>
      </c>
      <c r="AE163">
        <v>33650</v>
      </c>
      <c r="AF163">
        <v>4.9000000000000002E-2</v>
      </c>
      <c r="AG163">
        <v>9.6295508332999997</v>
      </c>
      <c r="AH163">
        <v>49.679411333300003</v>
      </c>
      <c r="AI163">
        <v>12</v>
      </c>
      <c r="AJ163">
        <v>0.49</v>
      </c>
      <c r="AK163">
        <v>168.4</v>
      </c>
      <c r="AL163">
        <v>227735800</v>
      </c>
      <c r="AM163">
        <v>0.02</v>
      </c>
    </row>
    <row r="164" spans="1:39" x14ac:dyDescent="0.25">
      <c r="A164">
        <v>0.51300000000003299</v>
      </c>
      <c r="B164">
        <v>275.23392000000001</v>
      </c>
      <c r="C164">
        <v>0.105175757570507</v>
      </c>
      <c r="D164">
        <v>2.35999999999876E-2</v>
      </c>
      <c r="E164" s="1">
        <v>45846</v>
      </c>
      <c r="F164">
        <v>227736000</v>
      </c>
      <c r="G164">
        <v>4</v>
      </c>
      <c r="H164">
        <v>9.6293806666999995</v>
      </c>
      <c r="I164">
        <v>49.679421333299999</v>
      </c>
      <c r="J164">
        <v>4.6469999999999997E-2</v>
      </c>
      <c r="K164">
        <v>112.47</v>
      </c>
      <c r="L164">
        <v>-1227.79</v>
      </c>
      <c r="M164">
        <v>120.76</v>
      </c>
      <c r="N164">
        <v>167.2</v>
      </c>
      <c r="O164">
        <v>33720</v>
      </c>
      <c r="P164">
        <v>4.7E-2</v>
      </c>
      <c r="Q164">
        <v>0.315049999999999</v>
      </c>
      <c r="R164">
        <v>67.105810000000005</v>
      </c>
      <c r="S164">
        <v>0.102600909086056</v>
      </c>
      <c r="T164">
        <v>1.6710000000003299E-2</v>
      </c>
      <c r="U164" s="1">
        <v>45846</v>
      </c>
      <c r="V164">
        <v>227736000</v>
      </c>
      <c r="W164">
        <v>4</v>
      </c>
      <c r="X164">
        <v>9.6297068333000002</v>
      </c>
      <c r="Y164">
        <v>49.679454</v>
      </c>
      <c r="Z164">
        <v>4.6890000000000001E-2</v>
      </c>
      <c r="AA164">
        <v>475.38</v>
      </c>
      <c r="AB164">
        <v>1125.71</v>
      </c>
      <c r="AC164">
        <v>191.88</v>
      </c>
      <c r="AD164">
        <v>166.5</v>
      </c>
      <c r="AE164">
        <v>33650</v>
      </c>
      <c r="AF164">
        <v>3.1E-2</v>
      </c>
      <c r="AG164">
        <v>9.6295508332999997</v>
      </c>
      <c r="AH164">
        <v>49.679411333300003</v>
      </c>
      <c r="AI164">
        <v>12</v>
      </c>
      <c r="AJ164">
        <v>0.49</v>
      </c>
      <c r="AK164">
        <v>168.4</v>
      </c>
      <c r="AL164">
        <v>227736000</v>
      </c>
      <c r="AM164">
        <v>2.3E-2</v>
      </c>
    </row>
    <row r="165" spans="1:39" x14ac:dyDescent="0.25">
      <c r="A165">
        <v>0.51642000000003896</v>
      </c>
      <c r="B165">
        <v>275.23734000000002</v>
      </c>
      <c r="C165">
        <v>9.7563030303693593E-2</v>
      </c>
      <c r="D165">
        <v>3.4200000000055302E-3</v>
      </c>
      <c r="E165" s="1">
        <v>45846</v>
      </c>
      <c r="F165">
        <v>227736200</v>
      </c>
      <c r="G165">
        <v>4</v>
      </c>
      <c r="H165">
        <v>9.6293806666999995</v>
      </c>
      <c r="I165">
        <v>49.679421499999997</v>
      </c>
      <c r="J165">
        <v>4.6469999999999997E-2</v>
      </c>
      <c r="K165">
        <v>112.54</v>
      </c>
      <c r="L165">
        <v>-1227.79</v>
      </c>
      <c r="M165">
        <v>120.9</v>
      </c>
      <c r="N165">
        <v>167.2</v>
      </c>
      <c r="O165">
        <v>33720</v>
      </c>
      <c r="P165">
        <v>0.03</v>
      </c>
      <c r="Q165">
        <v>0.32168000000000002</v>
      </c>
      <c r="R165">
        <v>67.112440000000007</v>
      </c>
      <c r="S165">
        <v>9.0673030303761004E-2</v>
      </c>
      <c r="T165">
        <v>6.6300000000012399E-3</v>
      </c>
      <c r="U165" s="1">
        <v>45846</v>
      </c>
      <c r="V165">
        <v>227736200</v>
      </c>
      <c r="W165">
        <v>4</v>
      </c>
      <c r="X165">
        <v>9.6297068333000002</v>
      </c>
      <c r="Y165">
        <v>49.679454</v>
      </c>
      <c r="Z165">
        <v>4.6899999999999997E-2</v>
      </c>
      <c r="AA165">
        <v>475.18</v>
      </c>
      <c r="AB165">
        <v>1125.58</v>
      </c>
      <c r="AC165">
        <v>192.35</v>
      </c>
      <c r="AD165">
        <v>166.5</v>
      </c>
      <c r="AE165">
        <v>33650</v>
      </c>
      <c r="AF165">
        <v>1.9E-2</v>
      </c>
      <c r="AG165">
        <v>9.6295508332999997</v>
      </c>
      <c r="AH165">
        <v>49.6794111667</v>
      </c>
      <c r="AI165">
        <v>12</v>
      </c>
      <c r="AJ165">
        <v>0.49</v>
      </c>
      <c r="AK165">
        <v>168.4</v>
      </c>
      <c r="AL165">
        <v>227736200</v>
      </c>
      <c r="AM165">
        <v>1.2999999999999999E-2</v>
      </c>
    </row>
    <row r="166" spans="1:39" x14ac:dyDescent="0.25">
      <c r="A166">
        <v>0.51212000000003799</v>
      </c>
      <c r="B166">
        <v>275.23304000000002</v>
      </c>
      <c r="C166">
        <v>8.4612121216798106E-2</v>
      </c>
      <c r="D166">
        <v>-4.3000000000006297E-3</v>
      </c>
      <c r="E166" s="1">
        <v>45846</v>
      </c>
      <c r="F166">
        <v>227736400</v>
      </c>
      <c r="G166">
        <v>4</v>
      </c>
      <c r="H166">
        <v>9.6293806666999995</v>
      </c>
      <c r="I166">
        <v>49.679421333299999</v>
      </c>
      <c r="J166">
        <v>4.6469999999999997E-2</v>
      </c>
      <c r="K166">
        <v>112.45</v>
      </c>
      <c r="L166">
        <v>-1227.77</v>
      </c>
      <c r="M166">
        <v>120.63</v>
      </c>
      <c r="N166">
        <v>167.2</v>
      </c>
      <c r="O166">
        <v>33720</v>
      </c>
      <c r="P166">
        <v>2.5999999999999999E-2</v>
      </c>
      <c r="Q166">
        <v>0.31219000000000102</v>
      </c>
      <c r="R166">
        <v>67.102950000000007</v>
      </c>
      <c r="S166">
        <v>7.2273333336875994E-2</v>
      </c>
      <c r="T166">
        <v>-9.4899999999995491E-3</v>
      </c>
      <c r="U166" s="1">
        <v>45846</v>
      </c>
      <c r="V166">
        <v>227736400</v>
      </c>
      <c r="W166">
        <v>4</v>
      </c>
      <c r="X166">
        <v>9.6297068333000002</v>
      </c>
      <c r="Y166">
        <v>49.679454</v>
      </c>
      <c r="Z166">
        <v>4.6890000000000001E-2</v>
      </c>
      <c r="AA166">
        <v>475.4</v>
      </c>
      <c r="AB166">
        <v>1125.58</v>
      </c>
      <c r="AC166">
        <v>192.18</v>
      </c>
      <c r="AD166">
        <v>166.5</v>
      </c>
      <c r="AE166">
        <v>33650</v>
      </c>
      <c r="AF166">
        <v>3.1E-2</v>
      </c>
      <c r="AG166">
        <v>9.6295508332999997</v>
      </c>
      <c r="AH166">
        <v>49.6794111667</v>
      </c>
      <c r="AI166">
        <v>12</v>
      </c>
      <c r="AJ166">
        <v>0.49</v>
      </c>
      <c r="AK166">
        <v>168.4</v>
      </c>
      <c r="AL166">
        <v>227736400</v>
      </c>
      <c r="AM166">
        <v>2.4E-2</v>
      </c>
    </row>
    <row r="167" spans="1:39" x14ac:dyDescent="0.25">
      <c r="A167">
        <v>0.50896000000000097</v>
      </c>
      <c r="B167">
        <v>275.22987999999998</v>
      </c>
      <c r="C167">
        <v>6.9135151512396201E-2</v>
      </c>
      <c r="D167">
        <v>-3.1600000000366799E-3</v>
      </c>
      <c r="E167" s="1">
        <v>45846</v>
      </c>
      <c r="F167">
        <v>227736600</v>
      </c>
      <c r="G167">
        <v>4</v>
      </c>
      <c r="H167">
        <v>9.6293806666999995</v>
      </c>
      <c r="I167">
        <v>49.679421333299999</v>
      </c>
      <c r="J167">
        <v>4.6469999999999997E-2</v>
      </c>
      <c r="K167">
        <v>112.38</v>
      </c>
      <c r="L167">
        <v>-1227.77</v>
      </c>
      <c r="M167">
        <v>120.79</v>
      </c>
      <c r="N167">
        <v>167.2</v>
      </c>
      <c r="O167">
        <v>33720</v>
      </c>
      <c r="P167">
        <v>1.0999999999999999E-2</v>
      </c>
      <c r="Q167">
        <v>0.29453999999999703</v>
      </c>
      <c r="R167">
        <v>67.085300000000004</v>
      </c>
      <c r="S167">
        <v>4.82690909089281E-2</v>
      </c>
      <c r="T167">
        <v>-1.7650000000003201E-2</v>
      </c>
      <c r="U167" s="1">
        <v>45846</v>
      </c>
      <c r="V167">
        <v>227736600</v>
      </c>
      <c r="W167">
        <v>4</v>
      </c>
      <c r="X167">
        <v>9.6297068333000002</v>
      </c>
      <c r="Y167">
        <v>49.679454</v>
      </c>
      <c r="Z167">
        <v>4.6890000000000001E-2</v>
      </c>
      <c r="AA167">
        <v>475.75</v>
      </c>
      <c r="AB167">
        <v>1125.46</v>
      </c>
      <c r="AC167">
        <v>192.63</v>
      </c>
      <c r="AD167">
        <v>166.5</v>
      </c>
      <c r="AE167">
        <v>33650</v>
      </c>
      <c r="AF167">
        <v>5.6000000000000001E-2</v>
      </c>
      <c r="AG167">
        <v>9.6295508332999997</v>
      </c>
      <c r="AH167">
        <v>49.6794111667</v>
      </c>
      <c r="AI167">
        <v>12</v>
      </c>
      <c r="AJ167">
        <v>0.49</v>
      </c>
      <c r="AK167">
        <v>168.4</v>
      </c>
      <c r="AL167">
        <v>227736600</v>
      </c>
      <c r="AM167">
        <v>3.1E-2</v>
      </c>
    </row>
    <row r="168" spans="1:39" x14ac:dyDescent="0.25">
      <c r="A168">
        <v>0.48798000000004998</v>
      </c>
      <c r="B168">
        <v>275.20890000000003</v>
      </c>
      <c r="C168">
        <v>4.4910303029772503E-2</v>
      </c>
      <c r="D168">
        <v>-2.0979999999951801E-2</v>
      </c>
      <c r="E168" s="1">
        <v>45846</v>
      </c>
      <c r="F168">
        <v>227736800</v>
      </c>
      <c r="G168">
        <v>4</v>
      </c>
      <c r="H168">
        <v>9.6293806666999995</v>
      </c>
      <c r="I168">
        <v>49.679421166700003</v>
      </c>
      <c r="J168">
        <v>4.6469999999999997E-2</v>
      </c>
      <c r="K168">
        <v>111.94</v>
      </c>
      <c r="L168">
        <v>-1227.8599999999999</v>
      </c>
      <c r="M168">
        <v>120.64</v>
      </c>
      <c r="N168">
        <v>167.2</v>
      </c>
      <c r="O168">
        <v>33720</v>
      </c>
      <c r="P168">
        <v>5.6000000000000001E-2</v>
      </c>
      <c r="Q168">
        <v>0.32388999999999102</v>
      </c>
      <c r="R168">
        <v>67.114649999999997</v>
      </c>
      <c r="S168">
        <v>3.1489090910319997E-2</v>
      </c>
      <c r="T168">
        <v>2.9349999999993701E-2</v>
      </c>
      <c r="U168" s="1">
        <v>45846</v>
      </c>
      <c r="V168">
        <v>227736800</v>
      </c>
      <c r="W168">
        <v>4</v>
      </c>
      <c r="X168">
        <v>9.6297068333000002</v>
      </c>
      <c r="Y168">
        <v>49.679453833300002</v>
      </c>
      <c r="Z168">
        <v>4.6899999999999997E-2</v>
      </c>
      <c r="AA168">
        <v>475.05</v>
      </c>
      <c r="AB168">
        <v>1125.3900000000001</v>
      </c>
      <c r="AC168">
        <v>191.99</v>
      </c>
      <c r="AD168">
        <v>166.5</v>
      </c>
      <c r="AE168">
        <v>33650</v>
      </c>
      <c r="AF168">
        <v>3.4000000000000002E-2</v>
      </c>
      <c r="AG168">
        <v>9.6295508332999997</v>
      </c>
      <c r="AH168">
        <v>49.6794111667</v>
      </c>
      <c r="AI168">
        <v>12</v>
      </c>
      <c r="AJ168">
        <v>0.49</v>
      </c>
      <c r="AK168">
        <v>168.4</v>
      </c>
      <c r="AL168">
        <v>227736800</v>
      </c>
      <c r="AM168">
        <v>3.6999999999999998E-2</v>
      </c>
    </row>
    <row r="169" spans="1:39" x14ac:dyDescent="0.25">
      <c r="A169">
        <v>0.470079999999995</v>
      </c>
      <c r="B169">
        <v>275.19099999999997</v>
      </c>
      <c r="C169">
        <v>1.9381818181986601E-2</v>
      </c>
      <c r="D169">
        <v>-1.7900000000054199E-2</v>
      </c>
      <c r="E169" s="1">
        <v>45846</v>
      </c>
      <c r="F169">
        <v>227737000</v>
      </c>
      <c r="G169">
        <v>4</v>
      </c>
      <c r="H169">
        <v>9.6293806666999995</v>
      </c>
      <c r="I169">
        <v>49.679421166700003</v>
      </c>
      <c r="J169">
        <v>4.648E-2</v>
      </c>
      <c r="K169">
        <v>111.53</v>
      </c>
      <c r="L169">
        <v>-1227.69</v>
      </c>
      <c r="M169">
        <v>120.6</v>
      </c>
      <c r="N169">
        <v>167.2</v>
      </c>
      <c r="O169">
        <v>33720</v>
      </c>
      <c r="P169">
        <v>5.1999999999999998E-2</v>
      </c>
      <c r="Q169">
        <v>0.31944</v>
      </c>
      <c r="R169">
        <v>67.110200000000006</v>
      </c>
      <c r="S169">
        <v>1.0986666666936601E-2</v>
      </c>
      <c r="T169">
        <v>-4.4499999999914001E-3</v>
      </c>
      <c r="U169" s="1">
        <v>45846</v>
      </c>
      <c r="V169">
        <v>227737000</v>
      </c>
      <c r="W169">
        <v>4</v>
      </c>
      <c r="X169">
        <v>9.6297068333000002</v>
      </c>
      <c r="Y169">
        <v>49.679453833300002</v>
      </c>
      <c r="Z169">
        <v>4.6899999999999997E-2</v>
      </c>
      <c r="AA169">
        <v>475.16</v>
      </c>
      <c r="AB169">
        <v>1125.42</v>
      </c>
      <c r="AC169">
        <v>192.16</v>
      </c>
      <c r="AD169">
        <v>166.5</v>
      </c>
      <c r="AE169">
        <v>33650</v>
      </c>
      <c r="AF169">
        <v>2.9000000000000001E-2</v>
      </c>
      <c r="AG169">
        <v>9.6295508332999997</v>
      </c>
      <c r="AH169">
        <v>49.679411000000002</v>
      </c>
      <c r="AI169">
        <v>12</v>
      </c>
      <c r="AJ169">
        <v>0.49</v>
      </c>
      <c r="AK169">
        <v>168.4</v>
      </c>
      <c r="AL169">
        <v>227737000</v>
      </c>
      <c r="AM169">
        <v>2.1000000000000001E-2</v>
      </c>
    </row>
    <row r="170" spans="1:39" x14ac:dyDescent="0.25">
      <c r="A170">
        <v>0.45014000000003301</v>
      </c>
      <c r="B170">
        <v>275.17106000000001</v>
      </c>
      <c r="C170">
        <v>-8.0369697013966002E-3</v>
      </c>
      <c r="D170">
        <v>-1.9939999999962699E-2</v>
      </c>
      <c r="E170" s="1">
        <v>45846</v>
      </c>
      <c r="F170">
        <v>227737200</v>
      </c>
      <c r="G170">
        <v>4</v>
      </c>
      <c r="H170">
        <v>9.6293806666999995</v>
      </c>
      <c r="I170">
        <v>49.679421166700003</v>
      </c>
      <c r="J170">
        <v>4.648E-2</v>
      </c>
      <c r="K170">
        <v>111.1</v>
      </c>
      <c r="L170">
        <v>-1227.6500000000001</v>
      </c>
      <c r="M170">
        <v>120.73</v>
      </c>
      <c r="N170">
        <v>167.2</v>
      </c>
      <c r="O170">
        <v>33720</v>
      </c>
      <c r="P170">
        <v>4.3999999999999997E-2</v>
      </c>
      <c r="Q170">
        <v>0.30267999999999501</v>
      </c>
      <c r="R170">
        <v>67.093440000000001</v>
      </c>
      <c r="S170">
        <v>4.6248484831473702E-3</v>
      </c>
      <c r="T170">
        <v>-1.6760000000004899E-2</v>
      </c>
      <c r="U170" s="1">
        <v>45846</v>
      </c>
      <c r="V170">
        <v>227737200</v>
      </c>
      <c r="W170">
        <v>4</v>
      </c>
      <c r="X170">
        <v>9.6297068333000002</v>
      </c>
      <c r="Y170">
        <v>49.679453833300002</v>
      </c>
      <c r="Z170">
        <v>4.6899999999999997E-2</v>
      </c>
      <c r="AA170">
        <v>475.55</v>
      </c>
      <c r="AB170">
        <v>1125.43</v>
      </c>
      <c r="AC170">
        <v>192.09</v>
      </c>
      <c r="AD170">
        <v>166.5</v>
      </c>
      <c r="AE170">
        <v>33650</v>
      </c>
      <c r="AF170">
        <v>5.0999999999999997E-2</v>
      </c>
      <c r="AG170">
        <v>9.6295508332999997</v>
      </c>
      <c r="AH170">
        <v>49.679411000000002</v>
      </c>
      <c r="AI170">
        <v>12</v>
      </c>
      <c r="AJ170">
        <v>0.49</v>
      </c>
      <c r="AK170">
        <v>168.4</v>
      </c>
      <c r="AL170">
        <v>227737200</v>
      </c>
      <c r="AM170">
        <v>3.9E-2</v>
      </c>
    </row>
    <row r="171" spans="1:39" x14ac:dyDescent="0.25">
      <c r="A171">
        <v>0.43658000000004898</v>
      </c>
      <c r="B171">
        <v>275.15750000000003</v>
      </c>
      <c r="C171">
        <v>-3.2004848486714602E-2</v>
      </c>
      <c r="D171">
        <v>-1.3559999999984E-2</v>
      </c>
      <c r="E171" s="1">
        <v>45846</v>
      </c>
      <c r="F171">
        <v>227737400</v>
      </c>
      <c r="G171">
        <v>4</v>
      </c>
      <c r="H171">
        <v>9.6293806666999995</v>
      </c>
      <c r="I171">
        <v>49.679420999999998</v>
      </c>
      <c r="J171">
        <v>4.648E-2</v>
      </c>
      <c r="K171">
        <v>110.8</v>
      </c>
      <c r="L171">
        <v>-1227.5999999999999</v>
      </c>
      <c r="M171">
        <v>120.7</v>
      </c>
      <c r="N171">
        <v>167.2</v>
      </c>
      <c r="O171">
        <v>33720</v>
      </c>
      <c r="P171">
        <v>8.1000000000000003E-2</v>
      </c>
      <c r="Q171">
        <v>0.247409999999987</v>
      </c>
      <c r="R171">
        <v>67.038169999999994</v>
      </c>
      <c r="S171">
        <v>-2.0828181818594901E-2</v>
      </c>
      <c r="T171">
        <v>-5.5270000000007202E-2</v>
      </c>
      <c r="U171" s="1">
        <v>45846</v>
      </c>
      <c r="V171">
        <v>227737400</v>
      </c>
      <c r="W171">
        <v>4</v>
      </c>
      <c r="X171">
        <v>9.6297068333000002</v>
      </c>
      <c r="Y171">
        <v>49.679454</v>
      </c>
      <c r="Z171">
        <v>4.6879999999999998E-2</v>
      </c>
      <c r="AA171">
        <v>476.79</v>
      </c>
      <c r="AB171">
        <v>1125.32</v>
      </c>
      <c r="AC171">
        <v>192.22</v>
      </c>
      <c r="AD171">
        <v>166.5</v>
      </c>
      <c r="AE171">
        <v>33650</v>
      </c>
      <c r="AF171">
        <v>5.5E-2</v>
      </c>
      <c r="AG171">
        <v>9.6295508332999997</v>
      </c>
      <c r="AH171">
        <v>49.679411000000002</v>
      </c>
      <c r="AI171">
        <v>12</v>
      </c>
      <c r="AJ171">
        <v>0.49</v>
      </c>
      <c r="AK171">
        <v>168.4</v>
      </c>
      <c r="AL171">
        <v>227737400</v>
      </c>
      <c r="AM171">
        <v>4.7E-2</v>
      </c>
    </row>
    <row r="172" spans="1:39" x14ac:dyDescent="0.25">
      <c r="A172">
        <v>0.40860000000003499</v>
      </c>
      <c r="B172">
        <v>275.12952000000001</v>
      </c>
      <c r="C172">
        <v>-5.2746666670894699E-2</v>
      </c>
      <c r="D172">
        <v>-2.7980000000013602E-2</v>
      </c>
      <c r="E172" s="1">
        <v>45846</v>
      </c>
      <c r="F172">
        <v>227737600</v>
      </c>
      <c r="G172">
        <v>4</v>
      </c>
      <c r="H172">
        <v>9.6293806666999995</v>
      </c>
      <c r="I172">
        <v>49.679420999999998</v>
      </c>
      <c r="J172">
        <v>4.6489999999999997E-2</v>
      </c>
      <c r="K172">
        <v>110.2</v>
      </c>
      <c r="L172">
        <v>-1227.5999999999999</v>
      </c>
      <c r="M172">
        <v>120.42</v>
      </c>
      <c r="N172">
        <v>167.2</v>
      </c>
      <c r="O172">
        <v>33720</v>
      </c>
      <c r="P172">
        <v>0.09</v>
      </c>
      <c r="Q172">
        <v>0.26661999999998898</v>
      </c>
      <c r="R172">
        <v>67.057379999999995</v>
      </c>
      <c r="S172">
        <v>-2.4329090911571299E-2</v>
      </c>
      <c r="T172">
        <v>1.9210000000001001E-2</v>
      </c>
      <c r="U172" s="1">
        <v>45846</v>
      </c>
      <c r="V172">
        <v>227737600</v>
      </c>
      <c r="W172">
        <v>4</v>
      </c>
      <c r="X172">
        <v>9.6297068333000002</v>
      </c>
      <c r="Y172">
        <v>49.679453833300002</v>
      </c>
      <c r="Z172">
        <v>4.6890000000000001E-2</v>
      </c>
      <c r="AA172">
        <v>476.33</v>
      </c>
      <c r="AB172">
        <v>1125.3</v>
      </c>
      <c r="AC172">
        <v>192.39</v>
      </c>
      <c r="AD172">
        <v>166.5</v>
      </c>
      <c r="AE172">
        <v>33650</v>
      </c>
      <c r="AF172">
        <v>6.0999999999999999E-2</v>
      </c>
      <c r="AG172">
        <v>9.6295508332999997</v>
      </c>
      <c r="AH172">
        <v>49.679411000000002</v>
      </c>
      <c r="AI172">
        <v>12</v>
      </c>
      <c r="AJ172">
        <v>0.49</v>
      </c>
      <c r="AK172">
        <v>168.4</v>
      </c>
      <c r="AL172">
        <v>227737600</v>
      </c>
      <c r="AM172">
        <v>0.06</v>
      </c>
    </row>
    <row r="173" spans="1:39" x14ac:dyDescent="0.25">
      <c r="A173">
        <v>0.40649999999999398</v>
      </c>
      <c r="B173">
        <v>275.12741999999997</v>
      </c>
      <c r="C173">
        <v>-6.9251515158832794E-2</v>
      </c>
      <c r="D173">
        <v>-2.1000000000412902E-3</v>
      </c>
      <c r="E173" s="1">
        <v>45846</v>
      </c>
      <c r="F173">
        <v>227737800</v>
      </c>
      <c r="G173">
        <v>4</v>
      </c>
      <c r="H173">
        <v>9.6293806666999995</v>
      </c>
      <c r="I173">
        <v>49.6794208333</v>
      </c>
      <c r="J173">
        <v>4.648E-2</v>
      </c>
      <c r="K173">
        <v>110.17</v>
      </c>
      <c r="L173">
        <v>-1227.77</v>
      </c>
      <c r="M173">
        <v>120.59</v>
      </c>
      <c r="N173">
        <v>167.2</v>
      </c>
      <c r="O173">
        <v>33720</v>
      </c>
      <c r="P173">
        <v>8.7999999999999995E-2</v>
      </c>
      <c r="Q173">
        <v>0.25458999999999299</v>
      </c>
      <c r="R173">
        <v>67.045349999999999</v>
      </c>
      <c r="S173">
        <v>-3.7378484852661903E-2</v>
      </c>
      <c r="T173">
        <v>-1.20299999999957E-2</v>
      </c>
      <c r="U173" s="1">
        <v>45846</v>
      </c>
      <c r="V173">
        <v>227737800</v>
      </c>
      <c r="W173">
        <v>4</v>
      </c>
      <c r="X173">
        <v>9.6297066667000006</v>
      </c>
      <c r="Y173">
        <v>49.679453833300002</v>
      </c>
      <c r="Z173">
        <v>4.6890000000000001E-2</v>
      </c>
      <c r="AA173">
        <v>476.54</v>
      </c>
      <c r="AB173">
        <v>1125.1199999999999</v>
      </c>
      <c r="AC173">
        <v>192.61</v>
      </c>
      <c r="AD173">
        <v>166.5</v>
      </c>
      <c r="AE173">
        <v>33650</v>
      </c>
      <c r="AF173">
        <v>1.7999999999999999E-2</v>
      </c>
      <c r="AG173">
        <v>9.6295508332999997</v>
      </c>
      <c r="AH173">
        <v>49.679411000000002</v>
      </c>
      <c r="AI173">
        <v>12</v>
      </c>
      <c r="AJ173">
        <v>0.49</v>
      </c>
      <c r="AK173">
        <v>168.4</v>
      </c>
      <c r="AL173">
        <v>227737800</v>
      </c>
      <c r="AM173">
        <v>6.5000000000000002E-2</v>
      </c>
    </row>
    <row r="174" spans="1:39" x14ac:dyDescent="0.25">
      <c r="A174">
        <v>0.40212000000002401</v>
      </c>
      <c r="B174">
        <v>275.12304</v>
      </c>
      <c r="C174">
        <v>-7.4060000001041904E-2</v>
      </c>
      <c r="D174">
        <v>-4.3799999999691802E-3</v>
      </c>
      <c r="E174" s="1">
        <v>45846</v>
      </c>
      <c r="F174">
        <v>227738000</v>
      </c>
      <c r="G174">
        <v>4</v>
      </c>
      <c r="H174">
        <v>9.6293808333000008</v>
      </c>
      <c r="I174">
        <v>49.6794208333</v>
      </c>
      <c r="J174">
        <v>4.6489999999999997E-2</v>
      </c>
      <c r="K174">
        <v>110.04</v>
      </c>
      <c r="L174">
        <v>-1227.42</v>
      </c>
      <c r="M174">
        <v>120.83</v>
      </c>
      <c r="N174">
        <v>167.2</v>
      </c>
      <c r="O174">
        <v>33720</v>
      </c>
      <c r="P174">
        <v>2.1999999999999999E-2</v>
      </c>
      <c r="Q174">
        <v>0.25018999999998898</v>
      </c>
      <c r="R174">
        <v>67.040949999999995</v>
      </c>
      <c r="S174">
        <v>-4.3406363637133002E-2</v>
      </c>
      <c r="T174">
        <v>-4.4000000000039502E-3</v>
      </c>
      <c r="U174" s="1">
        <v>45846</v>
      </c>
      <c r="V174">
        <v>227738000</v>
      </c>
      <c r="W174">
        <v>4</v>
      </c>
      <c r="X174">
        <v>9.6297068333000002</v>
      </c>
      <c r="Y174">
        <v>49.679453833300002</v>
      </c>
      <c r="Z174">
        <v>4.6879999999999998E-2</v>
      </c>
      <c r="AA174">
        <v>476.7</v>
      </c>
      <c r="AB174">
        <v>1125.26</v>
      </c>
      <c r="AC174">
        <v>192.58</v>
      </c>
      <c r="AD174">
        <v>166.5</v>
      </c>
      <c r="AE174">
        <v>33650</v>
      </c>
      <c r="AF174">
        <v>5.5E-2</v>
      </c>
      <c r="AG174">
        <v>9.6295508332999997</v>
      </c>
      <c r="AH174">
        <v>49.679410833299997</v>
      </c>
      <c r="AI174">
        <v>12</v>
      </c>
      <c r="AJ174">
        <v>0.49</v>
      </c>
      <c r="AK174">
        <v>168.4</v>
      </c>
      <c r="AL174">
        <v>227738000</v>
      </c>
      <c r="AM174">
        <v>3.2000000000000001E-2</v>
      </c>
    </row>
    <row r="175" spans="1:39" x14ac:dyDescent="0.25">
      <c r="A175">
        <v>0.400419999999996</v>
      </c>
      <c r="B175">
        <v>275.12133999999998</v>
      </c>
      <c r="C175">
        <v>-7.1472121211656706E-2</v>
      </c>
      <c r="D175">
        <v>-1.7000000000280101E-3</v>
      </c>
      <c r="E175" s="1">
        <v>45846</v>
      </c>
      <c r="F175">
        <v>227738200</v>
      </c>
      <c r="G175">
        <v>4</v>
      </c>
      <c r="H175">
        <v>9.6293808333000008</v>
      </c>
      <c r="I175">
        <v>49.6794208333</v>
      </c>
      <c r="J175">
        <v>4.6489999999999997E-2</v>
      </c>
      <c r="K175">
        <v>110.02</v>
      </c>
      <c r="L175">
        <v>-1227.5899999999999</v>
      </c>
      <c r="M175">
        <v>121.07</v>
      </c>
      <c r="N175">
        <v>167.2</v>
      </c>
      <c r="O175">
        <v>33720</v>
      </c>
      <c r="P175">
        <v>1.4999999999999999E-2</v>
      </c>
      <c r="Q175">
        <v>0.23742999999998901</v>
      </c>
      <c r="R175">
        <v>67.028189999999995</v>
      </c>
      <c r="S175">
        <v>-4.6773333333343402E-2</v>
      </c>
      <c r="T175">
        <v>-1.2760000000000099E-2</v>
      </c>
      <c r="U175" s="1">
        <v>45846</v>
      </c>
      <c r="V175">
        <v>227738200</v>
      </c>
      <c r="W175">
        <v>4</v>
      </c>
      <c r="X175">
        <v>9.6297068333000002</v>
      </c>
      <c r="Y175">
        <v>49.679453833300002</v>
      </c>
      <c r="Z175">
        <v>4.6890000000000001E-2</v>
      </c>
      <c r="AA175">
        <v>476.91</v>
      </c>
      <c r="AB175">
        <v>1125.06</v>
      </c>
      <c r="AC175">
        <v>192.88</v>
      </c>
      <c r="AD175">
        <v>166.5</v>
      </c>
      <c r="AE175">
        <v>33650</v>
      </c>
      <c r="AF175">
        <v>2.3E-2</v>
      </c>
      <c r="AG175">
        <v>9.6295508332999997</v>
      </c>
      <c r="AH175">
        <v>49.679410833299997</v>
      </c>
      <c r="AI175">
        <v>12</v>
      </c>
      <c r="AJ175">
        <v>0.49</v>
      </c>
      <c r="AK175">
        <v>168.4</v>
      </c>
      <c r="AL175">
        <v>227738200</v>
      </c>
      <c r="AM175">
        <v>2.7E-2</v>
      </c>
    </row>
    <row r="176" spans="1:39" x14ac:dyDescent="0.25">
      <c r="A176">
        <v>0.39798000000001799</v>
      </c>
      <c r="B176">
        <v>275.1189</v>
      </c>
      <c r="C176">
        <v>-6.3952727273705504E-2</v>
      </c>
      <c r="D176">
        <v>-2.4399999999786801E-3</v>
      </c>
      <c r="E176" s="1">
        <v>45846</v>
      </c>
      <c r="F176">
        <v>227738400</v>
      </c>
      <c r="G176">
        <v>4</v>
      </c>
      <c r="H176">
        <v>9.6293808333000008</v>
      </c>
      <c r="I176">
        <v>49.6794208333</v>
      </c>
      <c r="J176">
        <v>4.6489999999999997E-2</v>
      </c>
      <c r="K176">
        <v>109.96</v>
      </c>
      <c r="L176">
        <v>-1227.51</v>
      </c>
      <c r="M176">
        <v>120.8</v>
      </c>
      <c r="N176">
        <v>167.2</v>
      </c>
      <c r="O176">
        <v>33720</v>
      </c>
      <c r="P176">
        <v>2.3E-2</v>
      </c>
      <c r="Q176">
        <v>0.234020000000001</v>
      </c>
      <c r="R176">
        <v>67.024780000000007</v>
      </c>
      <c r="S176">
        <v>-4.9127575759288403E-2</v>
      </c>
      <c r="T176">
        <v>-3.40999999998814E-3</v>
      </c>
      <c r="U176" s="1">
        <v>45846</v>
      </c>
      <c r="V176">
        <v>227738400</v>
      </c>
      <c r="W176">
        <v>4</v>
      </c>
      <c r="X176">
        <v>9.6297068333000002</v>
      </c>
      <c r="Y176">
        <v>49.679453833300002</v>
      </c>
      <c r="Z176">
        <v>4.6879999999999998E-2</v>
      </c>
      <c r="AA176">
        <v>477.01</v>
      </c>
      <c r="AB176">
        <v>1125.1099999999999</v>
      </c>
      <c r="AC176">
        <v>192.69</v>
      </c>
      <c r="AD176">
        <v>166.5</v>
      </c>
      <c r="AE176">
        <v>33650</v>
      </c>
      <c r="AF176">
        <v>3.4000000000000002E-2</v>
      </c>
      <c r="AG176">
        <v>9.6295508332999997</v>
      </c>
      <c r="AH176">
        <v>49.679410833299997</v>
      </c>
      <c r="AI176">
        <v>12</v>
      </c>
      <c r="AJ176">
        <v>0.49</v>
      </c>
      <c r="AK176">
        <v>168.4</v>
      </c>
      <c r="AL176">
        <v>227738400</v>
      </c>
      <c r="AM176">
        <v>1.7999999999999999E-2</v>
      </c>
    </row>
    <row r="177" spans="1:39" x14ac:dyDescent="0.25">
      <c r="A177">
        <v>0.38656000000003099</v>
      </c>
      <c r="B177">
        <v>275.10748000000001</v>
      </c>
      <c r="C177">
        <v>-5.3683636364336998E-2</v>
      </c>
      <c r="D177">
        <v>-1.14199999999868E-2</v>
      </c>
      <c r="E177" s="1">
        <v>45846</v>
      </c>
      <c r="F177">
        <v>227738600</v>
      </c>
      <c r="G177">
        <v>4</v>
      </c>
      <c r="H177">
        <v>9.6293808333000008</v>
      </c>
      <c r="I177">
        <v>49.679420666699997</v>
      </c>
      <c r="J177">
        <v>4.6489999999999997E-2</v>
      </c>
      <c r="K177">
        <v>109.71</v>
      </c>
      <c r="L177">
        <v>-1227.49</v>
      </c>
      <c r="M177">
        <v>120.16</v>
      </c>
      <c r="N177">
        <v>167.2</v>
      </c>
      <c r="O177">
        <v>33720</v>
      </c>
      <c r="P177">
        <v>4.3999999999999997E-2</v>
      </c>
      <c r="Q177">
        <v>0.23396999999999901</v>
      </c>
      <c r="R177">
        <v>67.024730000000005</v>
      </c>
      <c r="S177">
        <v>-5.2641212121857302E-2</v>
      </c>
      <c r="T177" s="7">
        <v>-5.0000000001659801E-5</v>
      </c>
      <c r="U177" s="1">
        <v>45846</v>
      </c>
      <c r="V177">
        <v>227738600</v>
      </c>
      <c r="W177">
        <v>4</v>
      </c>
      <c r="X177">
        <v>9.6297068333000002</v>
      </c>
      <c r="Y177">
        <v>49.679453833300002</v>
      </c>
      <c r="Z177">
        <v>4.6879999999999998E-2</v>
      </c>
      <c r="AA177">
        <v>477.01</v>
      </c>
      <c r="AB177">
        <v>1125.1099999999999</v>
      </c>
      <c r="AC177">
        <v>192.54</v>
      </c>
      <c r="AD177">
        <v>166.5</v>
      </c>
      <c r="AE177">
        <v>33650</v>
      </c>
      <c r="AF177">
        <v>2.3E-2</v>
      </c>
      <c r="AG177">
        <v>9.6295509999999993</v>
      </c>
      <c r="AH177">
        <v>49.679410833299997</v>
      </c>
      <c r="AI177">
        <v>12</v>
      </c>
      <c r="AJ177">
        <v>0.49</v>
      </c>
      <c r="AK177">
        <v>168.4</v>
      </c>
      <c r="AL177">
        <v>227738600</v>
      </c>
      <c r="AM177">
        <v>2.5000000000000001E-2</v>
      </c>
    </row>
    <row r="178" spans="1:39" x14ac:dyDescent="0.25">
      <c r="A178">
        <v>0.38866000000001499</v>
      </c>
      <c r="B178">
        <v>275.10957999999999</v>
      </c>
      <c r="C178">
        <v>-4.2416969695966998E-2</v>
      </c>
      <c r="D178">
        <v>2.0999999999844398E-3</v>
      </c>
      <c r="E178" s="1">
        <v>45846</v>
      </c>
      <c r="F178">
        <v>227738800</v>
      </c>
      <c r="G178">
        <v>4</v>
      </c>
      <c r="H178">
        <v>9.6293808333000008</v>
      </c>
      <c r="I178">
        <v>49.679420666699997</v>
      </c>
      <c r="J178">
        <v>4.6489999999999997E-2</v>
      </c>
      <c r="K178">
        <v>109.75</v>
      </c>
      <c r="L178">
        <v>-1227.4000000000001</v>
      </c>
      <c r="M178">
        <v>120.75</v>
      </c>
      <c r="N178">
        <v>167.2</v>
      </c>
      <c r="O178">
        <v>33720</v>
      </c>
      <c r="P178">
        <v>5.5E-2</v>
      </c>
      <c r="Q178">
        <v>0.23848999999999801</v>
      </c>
      <c r="R178">
        <v>67.029250000000005</v>
      </c>
      <c r="S178">
        <v>-4.1467878787234999E-2</v>
      </c>
      <c r="T178">
        <v>4.5199999999994099E-3</v>
      </c>
      <c r="U178" s="1">
        <v>45846</v>
      </c>
      <c r="V178">
        <v>227738800</v>
      </c>
      <c r="W178">
        <v>4</v>
      </c>
      <c r="X178">
        <v>9.6297068333000002</v>
      </c>
      <c r="Y178">
        <v>49.679453666699999</v>
      </c>
      <c r="Z178">
        <v>4.6879999999999998E-2</v>
      </c>
      <c r="AA178">
        <v>476.96</v>
      </c>
      <c r="AB178">
        <v>1125.25</v>
      </c>
      <c r="AC178">
        <v>192.09</v>
      </c>
      <c r="AD178">
        <v>166.4</v>
      </c>
      <c r="AE178">
        <v>33640</v>
      </c>
      <c r="AF178">
        <v>6.0000000000000001E-3</v>
      </c>
      <c r="AG178">
        <v>9.6295509999999993</v>
      </c>
      <c r="AH178">
        <v>49.679410666700001</v>
      </c>
      <c r="AI178">
        <v>12</v>
      </c>
      <c r="AJ178">
        <v>0.49</v>
      </c>
      <c r="AK178">
        <v>168.4</v>
      </c>
      <c r="AL178">
        <v>227738800</v>
      </c>
      <c r="AM178">
        <v>3.4000000000000002E-2</v>
      </c>
    </row>
    <row r="179" spans="1:39" x14ac:dyDescent="0.25">
      <c r="A179">
        <v>0.40130000000004801</v>
      </c>
      <c r="B179">
        <v>275.12222000000003</v>
      </c>
      <c r="C179">
        <v>-2.7650303030896901E-2</v>
      </c>
      <c r="D179">
        <v>1.2640000000033E-2</v>
      </c>
      <c r="E179" s="1">
        <v>45846</v>
      </c>
      <c r="F179">
        <v>227739000</v>
      </c>
      <c r="G179">
        <v>4</v>
      </c>
      <c r="H179">
        <v>9.6293808333000008</v>
      </c>
      <c r="I179">
        <v>49.679420666699997</v>
      </c>
      <c r="J179">
        <v>4.6489999999999997E-2</v>
      </c>
      <c r="K179">
        <v>110.02</v>
      </c>
      <c r="L179">
        <v>-1227.3800000000001</v>
      </c>
      <c r="M179">
        <v>121.08</v>
      </c>
      <c r="N179">
        <v>167.2</v>
      </c>
      <c r="O179">
        <v>33720</v>
      </c>
      <c r="P179">
        <v>3.5999999999999997E-2</v>
      </c>
      <c r="Q179">
        <v>0.247079999999996</v>
      </c>
      <c r="R179">
        <v>67.037840000000003</v>
      </c>
      <c r="S179">
        <v>-2.42593939387831E-2</v>
      </c>
      <c r="T179">
        <v>8.5899999999980992E-3</v>
      </c>
      <c r="U179" s="1">
        <v>45846</v>
      </c>
      <c r="V179">
        <v>227739000</v>
      </c>
      <c r="W179">
        <v>4</v>
      </c>
      <c r="X179">
        <v>9.6297068333000002</v>
      </c>
      <c r="Y179">
        <v>49.679453500000001</v>
      </c>
      <c r="Z179">
        <v>4.6890000000000001E-2</v>
      </c>
      <c r="AA179">
        <v>476.73</v>
      </c>
      <c r="AB179">
        <v>1125.1600000000001</v>
      </c>
      <c r="AC179">
        <v>192.56</v>
      </c>
      <c r="AD179">
        <v>166.4</v>
      </c>
      <c r="AE179">
        <v>33640</v>
      </c>
      <c r="AF179">
        <v>1.4999999999999999E-2</v>
      </c>
      <c r="AG179">
        <v>9.6295509999999993</v>
      </c>
      <c r="AH179">
        <v>49.679410666700001</v>
      </c>
      <c r="AI179">
        <v>12</v>
      </c>
      <c r="AJ179">
        <v>0.49</v>
      </c>
      <c r="AK179">
        <v>168.4</v>
      </c>
      <c r="AL179">
        <v>227739000</v>
      </c>
      <c r="AM179">
        <v>2.3E-2</v>
      </c>
    </row>
    <row r="180" spans="1:39" x14ac:dyDescent="0.25">
      <c r="A180">
        <v>0.41238000000004099</v>
      </c>
      <c r="B180">
        <v>275.13330000000002</v>
      </c>
      <c r="C180">
        <v>-1.2339999999916701E-2</v>
      </c>
      <c r="D180">
        <v>1.1079999999992599E-2</v>
      </c>
      <c r="E180" s="1">
        <v>45846</v>
      </c>
      <c r="F180">
        <v>227739200</v>
      </c>
      <c r="G180">
        <v>4</v>
      </c>
      <c r="H180">
        <v>9.6293808333000008</v>
      </c>
      <c r="I180">
        <v>49.679420666699997</v>
      </c>
      <c r="J180">
        <v>4.6489999999999997E-2</v>
      </c>
      <c r="K180">
        <v>110.28</v>
      </c>
      <c r="L180">
        <v>-1227.6099999999999</v>
      </c>
      <c r="M180">
        <v>120.83</v>
      </c>
      <c r="N180">
        <v>167.2</v>
      </c>
      <c r="O180">
        <v>33720</v>
      </c>
      <c r="P180">
        <v>1.9E-2</v>
      </c>
      <c r="Q180">
        <v>0.25291999999998799</v>
      </c>
      <c r="R180">
        <v>67.043679999999995</v>
      </c>
      <c r="S180">
        <v>-6.6593939395020096E-3</v>
      </c>
      <c r="T180">
        <v>5.8399999999920703E-3</v>
      </c>
      <c r="U180" s="1">
        <v>45846</v>
      </c>
      <c r="V180">
        <v>227739200</v>
      </c>
      <c r="W180">
        <v>4</v>
      </c>
      <c r="X180">
        <v>9.6297068333000002</v>
      </c>
      <c r="Y180">
        <v>49.679453500000001</v>
      </c>
      <c r="Z180">
        <v>4.6890000000000001E-2</v>
      </c>
      <c r="AA180">
        <v>476.59</v>
      </c>
      <c r="AB180">
        <v>1125.1600000000001</v>
      </c>
      <c r="AC180">
        <v>192.62</v>
      </c>
      <c r="AD180">
        <v>166.4</v>
      </c>
      <c r="AE180">
        <v>33640</v>
      </c>
      <c r="AF180">
        <v>3.5999999999999997E-2</v>
      </c>
      <c r="AG180">
        <v>9.6295509999999993</v>
      </c>
      <c r="AH180">
        <v>49.679410666700001</v>
      </c>
      <c r="AI180">
        <v>12</v>
      </c>
      <c r="AJ180">
        <v>0.49</v>
      </c>
      <c r="AK180">
        <v>168.4</v>
      </c>
      <c r="AL180">
        <v>227739200</v>
      </c>
      <c r="AM180">
        <v>1.0999999999999999E-2</v>
      </c>
    </row>
    <row r="181" spans="1:39" x14ac:dyDescent="0.25">
      <c r="A181">
        <v>0.43188000000003501</v>
      </c>
      <c r="B181">
        <v>275.15280000000001</v>
      </c>
      <c r="C181">
        <v>6.0569696961409901E-3</v>
      </c>
      <c r="D181">
        <v>1.9499999999993599E-2</v>
      </c>
      <c r="E181" s="1">
        <v>45846</v>
      </c>
      <c r="F181">
        <v>227739400</v>
      </c>
      <c r="G181">
        <v>4</v>
      </c>
      <c r="H181">
        <v>9.6293808333000008</v>
      </c>
      <c r="I181">
        <v>49.679420666699997</v>
      </c>
      <c r="J181">
        <v>4.648E-2</v>
      </c>
      <c r="K181">
        <v>110.71</v>
      </c>
      <c r="L181">
        <v>-1227.6600000000001</v>
      </c>
      <c r="M181">
        <v>120.98</v>
      </c>
      <c r="N181">
        <v>167.2</v>
      </c>
      <c r="O181">
        <v>33720</v>
      </c>
      <c r="P181">
        <v>3.2000000000000001E-2</v>
      </c>
      <c r="Q181">
        <v>0.22257999999999301</v>
      </c>
      <c r="R181">
        <v>67.013339999999999</v>
      </c>
      <c r="S181">
        <v>-1.2741515151450999E-2</v>
      </c>
      <c r="T181">
        <v>-3.0339999999995301E-2</v>
      </c>
      <c r="U181" s="1">
        <v>45846</v>
      </c>
      <c r="V181">
        <v>227739400</v>
      </c>
      <c r="W181">
        <v>4</v>
      </c>
      <c r="X181">
        <v>9.6297068333000002</v>
      </c>
      <c r="Y181">
        <v>49.679453500000001</v>
      </c>
      <c r="Z181">
        <v>4.6870000000000002E-2</v>
      </c>
      <c r="AA181">
        <v>477.35</v>
      </c>
      <c r="AB181">
        <v>1125.29</v>
      </c>
      <c r="AC181">
        <v>192.71</v>
      </c>
      <c r="AD181">
        <v>166.4</v>
      </c>
      <c r="AE181">
        <v>33640</v>
      </c>
      <c r="AF181">
        <v>2.8000000000000001E-2</v>
      </c>
      <c r="AG181">
        <v>9.6295509999999993</v>
      </c>
      <c r="AH181">
        <v>49.679410500000003</v>
      </c>
      <c r="AI181">
        <v>12</v>
      </c>
      <c r="AJ181">
        <v>0.49</v>
      </c>
      <c r="AK181">
        <v>168.4</v>
      </c>
      <c r="AL181">
        <v>227739400</v>
      </c>
      <c r="AM181">
        <v>1.7999999999999999E-2</v>
      </c>
    </row>
    <row r="182" spans="1:39" x14ac:dyDescent="0.25">
      <c r="A182">
        <v>0.43264000000004899</v>
      </c>
      <c r="B182">
        <v>275.15356000000003</v>
      </c>
      <c r="C182">
        <v>1.56193939382841E-2</v>
      </c>
      <c r="D182">
        <v>7.6000000001386005E-4</v>
      </c>
      <c r="E182" s="1">
        <v>45846</v>
      </c>
      <c r="F182">
        <v>227739600</v>
      </c>
      <c r="G182">
        <v>4</v>
      </c>
      <c r="H182">
        <v>9.6293808333000008</v>
      </c>
      <c r="I182">
        <v>49.679420499999999</v>
      </c>
      <c r="J182">
        <v>4.648E-2</v>
      </c>
      <c r="K182">
        <v>110.72</v>
      </c>
      <c r="L182">
        <v>-1227.6600000000001</v>
      </c>
      <c r="M182">
        <v>121.25</v>
      </c>
      <c r="N182">
        <v>167.1</v>
      </c>
      <c r="O182">
        <v>33710</v>
      </c>
      <c r="P182">
        <v>3.9E-2</v>
      </c>
      <c r="Q182">
        <v>0.27116999999999702</v>
      </c>
      <c r="R182">
        <v>67.061930000000004</v>
      </c>
      <c r="S182">
        <v>2.33636363592855E-3</v>
      </c>
      <c r="T182">
        <v>4.8590000000004303E-2</v>
      </c>
      <c r="U182" s="1">
        <v>45846</v>
      </c>
      <c r="V182">
        <v>227739600</v>
      </c>
      <c r="W182">
        <v>4</v>
      </c>
      <c r="X182">
        <v>9.6297068333000002</v>
      </c>
      <c r="Y182">
        <v>49.679453500000001</v>
      </c>
      <c r="Z182">
        <v>4.6890000000000001E-2</v>
      </c>
      <c r="AA182">
        <v>476.24</v>
      </c>
      <c r="AB182">
        <v>1125.33</v>
      </c>
      <c r="AC182">
        <v>192.64</v>
      </c>
      <c r="AD182">
        <v>166.4</v>
      </c>
      <c r="AE182">
        <v>33640</v>
      </c>
      <c r="AF182">
        <v>8.0000000000000002E-3</v>
      </c>
      <c r="AG182">
        <v>9.6295509999999993</v>
      </c>
      <c r="AH182">
        <v>49.679410500000003</v>
      </c>
      <c r="AI182">
        <v>12</v>
      </c>
      <c r="AJ182">
        <v>0.49</v>
      </c>
      <c r="AK182">
        <v>168.4</v>
      </c>
      <c r="AL182">
        <v>227739600</v>
      </c>
      <c r="AM182">
        <v>7.4999999999999997E-2</v>
      </c>
    </row>
    <row r="183" spans="1:39" x14ac:dyDescent="0.25">
      <c r="A183">
        <v>0.44186000000001902</v>
      </c>
      <c r="B183">
        <v>275.16278</v>
      </c>
      <c r="C183">
        <v>2.5539393940542499E-2</v>
      </c>
      <c r="D183">
        <v>9.2199999999706891E-3</v>
      </c>
      <c r="E183" s="1">
        <v>45846</v>
      </c>
      <c r="F183">
        <v>227739800</v>
      </c>
      <c r="G183">
        <v>4</v>
      </c>
      <c r="H183">
        <v>9.6293808333000008</v>
      </c>
      <c r="I183">
        <v>49.679420499999999</v>
      </c>
      <c r="J183">
        <v>4.6489999999999997E-2</v>
      </c>
      <c r="K183">
        <v>110.91</v>
      </c>
      <c r="L183">
        <v>-1227.54</v>
      </c>
      <c r="M183">
        <v>121.03</v>
      </c>
      <c r="N183">
        <v>167.1</v>
      </c>
      <c r="O183">
        <v>33710</v>
      </c>
      <c r="P183">
        <v>3.5999999999999997E-2</v>
      </c>
      <c r="Q183">
        <v>0.29094999999999499</v>
      </c>
      <c r="R183">
        <v>67.081710000000001</v>
      </c>
      <c r="S183">
        <v>1.8523030303992601E-2</v>
      </c>
      <c r="T183">
        <v>1.9779999999997199E-2</v>
      </c>
      <c r="U183" s="1">
        <v>45846</v>
      </c>
      <c r="V183">
        <v>227739800</v>
      </c>
      <c r="W183">
        <v>4</v>
      </c>
      <c r="X183">
        <v>9.6297069999999998</v>
      </c>
      <c r="Y183">
        <v>49.6794531667</v>
      </c>
      <c r="Z183">
        <v>4.6890000000000001E-2</v>
      </c>
      <c r="AA183">
        <v>475.8</v>
      </c>
      <c r="AB183">
        <v>1125.3699999999999</v>
      </c>
      <c r="AC183">
        <v>192.61</v>
      </c>
      <c r="AD183">
        <v>166.4</v>
      </c>
      <c r="AE183">
        <v>33640</v>
      </c>
      <c r="AF183">
        <v>1.2E-2</v>
      </c>
      <c r="AG183">
        <v>9.6295509999999993</v>
      </c>
      <c r="AH183">
        <v>49.679410333299998</v>
      </c>
      <c r="AI183">
        <v>12</v>
      </c>
      <c r="AJ183">
        <v>0.49</v>
      </c>
      <c r="AK183">
        <v>168.4</v>
      </c>
      <c r="AL183">
        <v>227739800</v>
      </c>
      <c r="AM183">
        <v>3.6999999999999998E-2</v>
      </c>
    </row>
    <row r="184" spans="1:39" x14ac:dyDescent="0.25">
      <c r="A184">
        <v>0.44808000000000398</v>
      </c>
      <c r="B184">
        <v>275.16899999999998</v>
      </c>
      <c r="C184">
        <v>3.35527272696787E-2</v>
      </c>
      <c r="D184">
        <v>6.2199999999847898E-3</v>
      </c>
      <c r="E184" s="1">
        <v>45846</v>
      </c>
      <c r="F184">
        <v>227740000</v>
      </c>
      <c r="G184">
        <v>4</v>
      </c>
      <c r="H184">
        <v>9.6293808333000008</v>
      </c>
      <c r="I184">
        <v>49.679420333300001</v>
      </c>
      <c r="J184">
        <v>4.648E-2</v>
      </c>
      <c r="K184">
        <v>111.05</v>
      </c>
      <c r="L184">
        <v>-1227.6300000000001</v>
      </c>
      <c r="M184">
        <v>120.65</v>
      </c>
      <c r="N184">
        <v>167.1</v>
      </c>
      <c r="O184">
        <v>33710</v>
      </c>
      <c r="P184">
        <v>5.5E-2</v>
      </c>
      <c r="Q184">
        <v>0.30371999999999799</v>
      </c>
      <c r="R184">
        <v>67.094480000000004</v>
      </c>
      <c r="S184">
        <v>3.4522121209131999E-2</v>
      </c>
      <c r="T184">
        <v>1.2770000000003201E-2</v>
      </c>
      <c r="U184" s="1">
        <v>45846</v>
      </c>
      <c r="V184">
        <v>227740000</v>
      </c>
      <c r="W184">
        <v>4</v>
      </c>
      <c r="X184">
        <v>9.6297069999999998</v>
      </c>
      <c r="Y184">
        <v>49.6794531667</v>
      </c>
      <c r="Z184">
        <v>4.6890000000000001E-2</v>
      </c>
      <c r="AA184">
        <v>475.58</v>
      </c>
      <c r="AB184">
        <v>1125.56</v>
      </c>
      <c r="AC184">
        <v>192.2</v>
      </c>
      <c r="AD184">
        <v>166.4</v>
      </c>
      <c r="AE184">
        <v>33640</v>
      </c>
      <c r="AF184">
        <v>4.8000000000000001E-2</v>
      </c>
      <c r="AG184">
        <v>9.6295509999999993</v>
      </c>
      <c r="AH184">
        <v>49.679410333299998</v>
      </c>
      <c r="AI184">
        <v>12</v>
      </c>
      <c r="AJ184">
        <v>0.49</v>
      </c>
      <c r="AK184">
        <v>168.4</v>
      </c>
      <c r="AL184">
        <v>227740000</v>
      </c>
      <c r="AM184">
        <v>0.04</v>
      </c>
    </row>
    <row r="185" spans="1:39" x14ac:dyDescent="0.25">
      <c r="A185">
        <v>0.46200000000004598</v>
      </c>
      <c r="B185">
        <v>275.18292000000002</v>
      </c>
      <c r="C185">
        <v>4.2010303032511798E-2</v>
      </c>
      <c r="D185">
        <v>1.3920000000041399E-2</v>
      </c>
      <c r="E185" s="1">
        <v>45846</v>
      </c>
      <c r="F185">
        <v>227740200</v>
      </c>
      <c r="G185">
        <v>4</v>
      </c>
      <c r="H185">
        <v>9.6293810000000004</v>
      </c>
      <c r="I185">
        <v>49.679420333300001</v>
      </c>
      <c r="J185">
        <v>4.648E-2</v>
      </c>
      <c r="K185">
        <v>111.35</v>
      </c>
      <c r="L185">
        <v>-1227.5899999999999</v>
      </c>
      <c r="M185">
        <v>120.83</v>
      </c>
      <c r="N185">
        <v>167.1</v>
      </c>
      <c r="O185">
        <v>33710</v>
      </c>
      <c r="P185">
        <v>3.6999999999999998E-2</v>
      </c>
      <c r="Q185">
        <v>0.30292999999998899</v>
      </c>
      <c r="R185">
        <v>67.093689999999995</v>
      </c>
      <c r="S185">
        <v>4.2808181820185601E-2</v>
      </c>
      <c r="T185">
        <v>-7.9000000000917204E-4</v>
      </c>
      <c r="U185" s="1">
        <v>45846</v>
      </c>
      <c r="V185">
        <v>227740200</v>
      </c>
      <c r="W185">
        <v>4</v>
      </c>
      <c r="X185">
        <v>9.6297069999999998</v>
      </c>
      <c r="Y185">
        <v>49.6794531667</v>
      </c>
      <c r="Z185">
        <v>4.6899999999999997E-2</v>
      </c>
      <c r="AA185">
        <v>475.55</v>
      </c>
      <c r="AB185">
        <v>1125.43</v>
      </c>
      <c r="AC185">
        <v>192.16</v>
      </c>
      <c r="AD185">
        <v>166.4</v>
      </c>
      <c r="AE185">
        <v>33640</v>
      </c>
      <c r="AF185">
        <v>0.05</v>
      </c>
      <c r="AG185">
        <v>9.6295509999999993</v>
      </c>
      <c r="AH185">
        <v>49.679410333299998</v>
      </c>
      <c r="AI185">
        <v>12</v>
      </c>
      <c r="AJ185">
        <v>0.49</v>
      </c>
      <c r="AK185">
        <v>168.4</v>
      </c>
      <c r="AL185">
        <v>227740200</v>
      </c>
      <c r="AM185">
        <v>7.0000000000000001E-3</v>
      </c>
    </row>
    <row r="186" spans="1:39" x14ac:dyDescent="0.25">
      <c r="A186">
        <v>0.47052000000002098</v>
      </c>
      <c r="B186">
        <v>275.19144</v>
      </c>
      <c r="C186">
        <v>4.8246060607229399E-2</v>
      </c>
      <c r="D186">
        <v>8.5199999999758698E-3</v>
      </c>
      <c r="E186" s="1">
        <v>45846</v>
      </c>
      <c r="F186">
        <v>227740400</v>
      </c>
      <c r="G186">
        <v>4</v>
      </c>
      <c r="H186">
        <v>9.6293810000000004</v>
      </c>
      <c r="I186">
        <v>49.679420499999999</v>
      </c>
      <c r="J186">
        <v>4.648E-2</v>
      </c>
      <c r="K186">
        <v>111.54</v>
      </c>
      <c r="L186">
        <v>-1227.67</v>
      </c>
      <c r="M186">
        <v>121.14</v>
      </c>
      <c r="N186">
        <v>167.1</v>
      </c>
      <c r="O186">
        <v>33700</v>
      </c>
      <c r="P186">
        <v>3.3000000000000002E-2</v>
      </c>
      <c r="Q186">
        <v>0.31532999999998801</v>
      </c>
      <c r="R186">
        <v>67.106089999999995</v>
      </c>
      <c r="S186">
        <v>4.9369696971032898E-2</v>
      </c>
      <c r="T186">
        <v>1.23999999999995E-2</v>
      </c>
      <c r="U186" s="1">
        <v>45846</v>
      </c>
      <c r="V186">
        <v>227740400</v>
      </c>
      <c r="W186">
        <v>4</v>
      </c>
      <c r="X186">
        <v>9.6297069999999998</v>
      </c>
      <c r="Y186">
        <v>49.6794531667</v>
      </c>
      <c r="Z186">
        <v>4.6890000000000001E-2</v>
      </c>
      <c r="AA186">
        <v>475.33</v>
      </c>
      <c r="AB186">
        <v>1125.5899999999999</v>
      </c>
      <c r="AC186">
        <v>192.16</v>
      </c>
      <c r="AD186">
        <v>166.4</v>
      </c>
      <c r="AE186">
        <v>33630</v>
      </c>
      <c r="AF186">
        <v>5.8000000000000003E-2</v>
      </c>
      <c r="AG186">
        <v>9.6295509999999993</v>
      </c>
      <c r="AH186">
        <v>49.679410333299998</v>
      </c>
      <c r="AI186">
        <v>12</v>
      </c>
      <c r="AJ186">
        <v>0.49</v>
      </c>
      <c r="AK186">
        <v>168.3</v>
      </c>
      <c r="AL186">
        <v>227740400</v>
      </c>
      <c r="AM186">
        <v>1.9E-2</v>
      </c>
    </row>
    <row r="187" spans="1:39" x14ac:dyDescent="0.25">
      <c r="A187">
        <v>0.46892000000002498</v>
      </c>
      <c r="B187">
        <v>275.18984</v>
      </c>
      <c r="C187">
        <v>4.5842424241595001E-2</v>
      </c>
      <c r="D187">
        <v>-1.59999999999627E-3</v>
      </c>
      <c r="E187" s="1">
        <v>45846</v>
      </c>
      <c r="F187">
        <v>227740600</v>
      </c>
      <c r="G187">
        <v>4</v>
      </c>
      <c r="H187">
        <v>9.6293810000000004</v>
      </c>
      <c r="I187">
        <v>49.679420333300001</v>
      </c>
      <c r="J187">
        <v>4.6489999999999997E-2</v>
      </c>
      <c r="K187">
        <v>111.49</v>
      </c>
      <c r="L187">
        <v>-1227.47</v>
      </c>
      <c r="M187">
        <v>120.99</v>
      </c>
      <c r="N187">
        <v>167.1</v>
      </c>
      <c r="O187">
        <v>33700</v>
      </c>
      <c r="P187">
        <v>3.9E-2</v>
      </c>
      <c r="Q187">
        <v>0.28099999999999098</v>
      </c>
      <c r="R187">
        <v>67.071759999999998</v>
      </c>
      <c r="S187">
        <v>4.1623939393169503E-2</v>
      </c>
      <c r="T187">
        <v>-3.4329999999997002E-2</v>
      </c>
      <c r="U187" s="1">
        <v>45846</v>
      </c>
      <c r="V187">
        <v>227740600</v>
      </c>
      <c r="W187">
        <v>4</v>
      </c>
      <c r="X187">
        <v>9.6297069999999998</v>
      </c>
      <c r="Y187">
        <v>49.6794531667</v>
      </c>
      <c r="Z187">
        <v>4.6879999999999998E-2</v>
      </c>
      <c r="AA187">
        <v>476.12</v>
      </c>
      <c r="AB187">
        <v>1125.58</v>
      </c>
      <c r="AC187">
        <v>192.29</v>
      </c>
      <c r="AD187">
        <v>166.4</v>
      </c>
      <c r="AE187">
        <v>33630</v>
      </c>
      <c r="AF187">
        <v>2.7E-2</v>
      </c>
      <c r="AG187">
        <v>9.6295511667000007</v>
      </c>
      <c r="AH187">
        <v>49.679410166700002</v>
      </c>
      <c r="AI187">
        <v>12</v>
      </c>
      <c r="AJ187">
        <v>0.49</v>
      </c>
      <c r="AK187">
        <v>168.3</v>
      </c>
      <c r="AL187">
        <v>227740600</v>
      </c>
      <c r="AM187">
        <v>6.7000000000000004E-2</v>
      </c>
    </row>
    <row r="188" spans="1:39" x14ac:dyDescent="0.25">
      <c r="A188">
        <v>0.48180000000002099</v>
      </c>
      <c r="B188">
        <v>275.20272</v>
      </c>
      <c r="C188">
        <v>4.2659999997976698E-2</v>
      </c>
      <c r="D188">
        <v>1.2879999999995499E-2</v>
      </c>
      <c r="E188" s="1">
        <v>45846</v>
      </c>
      <c r="F188">
        <v>227740800</v>
      </c>
      <c r="G188">
        <v>4</v>
      </c>
      <c r="H188">
        <v>9.6293810000000004</v>
      </c>
      <c r="I188">
        <v>49.679420166699998</v>
      </c>
      <c r="J188">
        <v>4.6489999999999997E-2</v>
      </c>
      <c r="K188">
        <v>111.76</v>
      </c>
      <c r="L188">
        <v>-1227.3599999999999</v>
      </c>
      <c r="M188">
        <v>120.92</v>
      </c>
      <c r="N188">
        <v>167.1</v>
      </c>
      <c r="O188">
        <v>33700</v>
      </c>
      <c r="P188">
        <v>3.2000000000000001E-2</v>
      </c>
      <c r="Q188">
        <v>0.28305999999999099</v>
      </c>
      <c r="R188">
        <v>67.073819999999998</v>
      </c>
      <c r="S188">
        <v>3.30963636347157E-2</v>
      </c>
      <c r="T188">
        <v>2.0600000000001702E-3</v>
      </c>
      <c r="U188" s="1">
        <v>45846</v>
      </c>
      <c r="V188">
        <v>227740800</v>
      </c>
      <c r="W188">
        <v>4</v>
      </c>
      <c r="X188">
        <v>9.6297071666999994</v>
      </c>
      <c r="Y188">
        <v>49.679453000000002</v>
      </c>
      <c r="Z188">
        <v>4.6870000000000002E-2</v>
      </c>
      <c r="AA188">
        <v>476.15</v>
      </c>
      <c r="AB188">
        <v>1125.76</v>
      </c>
      <c r="AC188">
        <v>192.47</v>
      </c>
      <c r="AD188">
        <v>166.4</v>
      </c>
      <c r="AE188">
        <v>33630</v>
      </c>
      <c r="AF188">
        <v>3.7999999999999999E-2</v>
      </c>
      <c r="AG188">
        <v>9.6295511667000007</v>
      </c>
      <c r="AH188">
        <v>49.679410166700002</v>
      </c>
      <c r="AI188">
        <v>12</v>
      </c>
      <c r="AJ188">
        <v>0.49</v>
      </c>
      <c r="AK188">
        <v>168.3</v>
      </c>
      <c r="AL188">
        <v>227740800</v>
      </c>
      <c r="AM188">
        <v>4.2000000000000003E-2</v>
      </c>
    </row>
    <row r="189" spans="1:39" x14ac:dyDescent="0.25">
      <c r="A189">
        <v>0.48708000000004797</v>
      </c>
      <c r="B189">
        <v>275.20800000000003</v>
      </c>
      <c r="C189">
        <v>3.9486060607676197E-2</v>
      </c>
      <c r="D189">
        <v>5.2800000000274797E-3</v>
      </c>
      <c r="E189" s="1">
        <v>45846</v>
      </c>
      <c r="F189">
        <v>227741000</v>
      </c>
      <c r="G189">
        <v>4</v>
      </c>
      <c r="H189">
        <v>9.6293810000000004</v>
      </c>
      <c r="I189">
        <v>49.679420166699998</v>
      </c>
      <c r="J189">
        <v>4.648E-2</v>
      </c>
      <c r="K189">
        <v>111.89</v>
      </c>
      <c r="L189">
        <v>-1227.6199999999999</v>
      </c>
      <c r="M189">
        <v>121.46</v>
      </c>
      <c r="N189">
        <v>167.1</v>
      </c>
      <c r="O189">
        <v>33700</v>
      </c>
      <c r="P189">
        <v>2.8000000000000001E-2</v>
      </c>
      <c r="Q189">
        <v>0.28552999999999401</v>
      </c>
      <c r="R189">
        <v>67.07629</v>
      </c>
      <c r="S189">
        <v>2.5404545455767601E-2</v>
      </c>
      <c r="T189">
        <v>2.4700000000024099E-3</v>
      </c>
      <c r="U189" s="1">
        <v>45846</v>
      </c>
      <c r="V189">
        <v>227741000</v>
      </c>
      <c r="W189">
        <v>4</v>
      </c>
      <c r="X189">
        <v>9.6297071666999994</v>
      </c>
      <c r="Y189">
        <v>49.679453000000002</v>
      </c>
      <c r="Z189">
        <v>4.6879999999999998E-2</v>
      </c>
      <c r="AA189">
        <v>476.02</v>
      </c>
      <c r="AB189">
        <v>1125.5899999999999</v>
      </c>
      <c r="AC189">
        <v>192.78</v>
      </c>
      <c r="AD189">
        <v>166.4</v>
      </c>
      <c r="AE189">
        <v>33630</v>
      </c>
      <c r="AF189">
        <v>8.0000000000000002E-3</v>
      </c>
      <c r="AG189">
        <v>9.6295511667000007</v>
      </c>
      <c r="AH189">
        <v>49.679410166700002</v>
      </c>
      <c r="AI189">
        <v>12</v>
      </c>
      <c r="AJ189">
        <v>0.49</v>
      </c>
      <c r="AK189">
        <v>168.3</v>
      </c>
      <c r="AL189">
        <v>227741000</v>
      </c>
      <c r="AM189">
        <v>6.0000000000000001E-3</v>
      </c>
    </row>
    <row r="190" spans="1:39" x14ac:dyDescent="0.25">
      <c r="A190">
        <v>0.48258000000004098</v>
      </c>
      <c r="B190">
        <v>275.20350000000002</v>
      </c>
      <c r="C190">
        <v>3.357939394349E-2</v>
      </c>
      <c r="D190">
        <v>-4.5000000000072699E-3</v>
      </c>
      <c r="E190" s="1">
        <v>45846</v>
      </c>
      <c r="F190">
        <v>227741200</v>
      </c>
      <c r="G190">
        <v>4</v>
      </c>
      <c r="H190">
        <v>9.6293810000000004</v>
      </c>
      <c r="I190">
        <v>49.679420166699998</v>
      </c>
      <c r="J190">
        <v>4.648E-2</v>
      </c>
      <c r="K190">
        <v>111.8</v>
      </c>
      <c r="L190">
        <v>-1227.6099999999999</v>
      </c>
      <c r="M190">
        <v>121.23</v>
      </c>
      <c r="N190">
        <v>167.1</v>
      </c>
      <c r="O190">
        <v>33700</v>
      </c>
      <c r="P190">
        <v>2.5999999999999999E-2</v>
      </c>
      <c r="Q190">
        <v>0.27771999999998798</v>
      </c>
      <c r="R190">
        <v>67.068479999999994</v>
      </c>
      <c r="S190">
        <v>1.51990909045535E-2</v>
      </c>
      <c r="T190">
        <v>-7.8100000000063102E-3</v>
      </c>
      <c r="U190" s="1">
        <v>45846</v>
      </c>
      <c r="V190">
        <v>227741200</v>
      </c>
      <c r="W190">
        <v>4</v>
      </c>
      <c r="X190">
        <v>9.6297071666999994</v>
      </c>
      <c r="Y190">
        <v>49.679452833299997</v>
      </c>
      <c r="Z190">
        <v>4.6879999999999998E-2</v>
      </c>
      <c r="AA190">
        <v>476.17</v>
      </c>
      <c r="AB190">
        <v>1125.53</v>
      </c>
      <c r="AC190">
        <v>192.31</v>
      </c>
      <c r="AD190">
        <v>166.4</v>
      </c>
      <c r="AE190">
        <v>33630</v>
      </c>
      <c r="AF190">
        <v>3.5999999999999997E-2</v>
      </c>
      <c r="AG190">
        <v>9.6295511667000007</v>
      </c>
      <c r="AH190">
        <v>49.679409999999997</v>
      </c>
      <c r="AI190">
        <v>12</v>
      </c>
      <c r="AJ190">
        <v>0.49</v>
      </c>
      <c r="AK190">
        <v>168.3</v>
      </c>
      <c r="AL190">
        <v>227741200</v>
      </c>
      <c r="AM190">
        <v>3.4000000000000002E-2</v>
      </c>
    </row>
    <row r="191" spans="1:39" x14ac:dyDescent="0.25">
      <c r="A191">
        <v>0.47274000000004401</v>
      </c>
      <c r="B191">
        <v>275.19366000000002</v>
      </c>
      <c r="C191">
        <v>2.72345454546545E-2</v>
      </c>
      <c r="D191">
        <v>-9.8399999999969606E-3</v>
      </c>
      <c r="E191" s="1">
        <v>45846</v>
      </c>
      <c r="F191">
        <v>227741400</v>
      </c>
      <c r="G191">
        <v>4</v>
      </c>
      <c r="H191">
        <v>9.6293810000000004</v>
      </c>
      <c r="I191">
        <v>49.679420166699998</v>
      </c>
      <c r="J191">
        <v>4.648E-2</v>
      </c>
      <c r="K191">
        <v>111.59</v>
      </c>
      <c r="L191">
        <v>-1227.6400000000001</v>
      </c>
      <c r="M191">
        <v>120.87</v>
      </c>
      <c r="N191">
        <v>167.1</v>
      </c>
      <c r="O191">
        <v>33700</v>
      </c>
      <c r="P191">
        <v>1.6E-2</v>
      </c>
      <c r="Q191">
        <v>0.26976999999999401</v>
      </c>
      <c r="R191">
        <v>67.06053</v>
      </c>
      <c r="S191">
        <v>-8.7909090907660505E-3</v>
      </c>
      <c r="T191">
        <v>-7.9499999999938994E-3</v>
      </c>
      <c r="U191" s="1">
        <v>45846</v>
      </c>
      <c r="V191">
        <v>227741400</v>
      </c>
      <c r="W191">
        <v>4</v>
      </c>
      <c r="X191">
        <v>9.6297071666999994</v>
      </c>
      <c r="Y191">
        <v>49.679453000000002</v>
      </c>
      <c r="Z191">
        <v>4.6879999999999998E-2</v>
      </c>
      <c r="AA191">
        <v>476.37</v>
      </c>
      <c r="AB191">
        <v>1125.56</v>
      </c>
      <c r="AC191">
        <v>192.28</v>
      </c>
      <c r="AD191">
        <v>166.4</v>
      </c>
      <c r="AE191">
        <v>33630</v>
      </c>
      <c r="AF191">
        <v>1.4999999999999999E-2</v>
      </c>
      <c r="AG191">
        <v>9.6295511667000007</v>
      </c>
      <c r="AH191">
        <v>49.679409999999997</v>
      </c>
      <c r="AI191">
        <v>12</v>
      </c>
      <c r="AJ191">
        <v>0.49</v>
      </c>
      <c r="AK191">
        <v>168.3</v>
      </c>
      <c r="AL191">
        <v>227741400</v>
      </c>
      <c r="AM191">
        <v>4.2000000000000003E-2</v>
      </c>
    </row>
    <row r="192" spans="1:39" x14ac:dyDescent="0.25">
      <c r="A192">
        <v>0.46077999999999902</v>
      </c>
      <c r="B192">
        <v>275.18169999999998</v>
      </c>
      <c r="C192">
        <v>1.54048484845962E-2</v>
      </c>
      <c r="D192">
        <v>-1.19600000000446E-2</v>
      </c>
      <c r="E192" s="1">
        <v>45846</v>
      </c>
      <c r="F192">
        <v>227741600</v>
      </c>
      <c r="G192">
        <v>4</v>
      </c>
      <c r="H192">
        <v>9.6293811667</v>
      </c>
      <c r="I192">
        <v>49.67942</v>
      </c>
      <c r="J192">
        <v>4.648E-2</v>
      </c>
      <c r="K192">
        <v>111.32</v>
      </c>
      <c r="L192">
        <v>-1227.57</v>
      </c>
      <c r="M192">
        <v>121.01</v>
      </c>
      <c r="N192">
        <v>167.1</v>
      </c>
      <c r="O192">
        <v>33700</v>
      </c>
      <c r="P192">
        <v>3.5999999999999997E-2</v>
      </c>
      <c r="Q192">
        <v>0.30225999999998898</v>
      </c>
      <c r="R192">
        <v>67.093019999999996</v>
      </c>
      <c r="S192">
        <v>-1.05833333325497E-2</v>
      </c>
      <c r="T192">
        <v>3.2489999999995599E-2</v>
      </c>
      <c r="U192" s="1">
        <v>45846</v>
      </c>
      <c r="V192">
        <v>227741600</v>
      </c>
      <c r="W192">
        <v>4</v>
      </c>
      <c r="X192">
        <v>9.6297071666999994</v>
      </c>
      <c r="Y192">
        <v>49.679452833299997</v>
      </c>
      <c r="Z192">
        <v>4.6899999999999997E-2</v>
      </c>
      <c r="AA192">
        <v>475.56</v>
      </c>
      <c r="AB192">
        <v>1125.43</v>
      </c>
      <c r="AC192">
        <v>192.14</v>
      </c>
      <c r="AD192">
        <v>166.4</v>
      </c>
      <c r="AE192">
        <v>33630</v>
      </c>
      <c r="AF192">
        <v>3.2000000000000001E-2</v>
      </c>
      <c r="AG192">
        <v>9.6295511667000007</v>
      </c>
      <c r="AH192">
        <v>49.679409999999997</v>
      </c>
      <c r="AI192">
        <v>12</v>
      </c>
      <c r="AJ192">
        <v>0.49</v>
      </c>
      <c r="AK192">
        <v>168.3</v>
      </c>
      <c r="AL192">
        <v>227741600</v>
      </c>
      <c r="AM192">
        <v>3.4000000000000002E-2</v>
      </c>
    </row>
    <row r="193" spans="1:39" x14ac:dyDescent="0.25">
      <c r="A193">
        <v>0.45289999999999903</v>
      </c>
      <c r="B193">
        <v>275.17381999999998</v>
      </c>
      <c r="C193">
        <v>2.7939393936122201E-3</v>
      </c>
      <c r="D193">
        <v>-7.8800000000001091E-3</v>
      </c>
      <c r="E193" s="1">
        <v>45846</v>
      </c>
      <c r="F193">
        <v>227741800</v>
      </c>
      <c r="G193">
        <v>4</v>
      </c>
      <c r="H193">
        <v>9.6293811667</v>
      </c>
      <c r="I193">
        <v>49.67942</v>
      </c>
      <c r="J193">
        <v>4.6489999999999997E-2</v>
      </c>
      <c r="K193">
        <v>111.14</v>
      </c>
      <c r="L193">
        <v>-1227.46</v>
      </c>
      <c r="M193">
        <v>120.92</v>
      </c>
      <c r="N193">
        <v>167.1</v>
      </c>
      <c r="O193">
        <v>33700</v>
      </c>
      <c r="P193">
        <v>4.9000000000000002E-2</v>
      </c>
      <c r="Q193">
        <v>0.26287999999999501</v>
      </c>
      <c r="R193">
        <v>67.053640000000001</v>
      </c>
      <c r="S193">
        <v>-1.8406666667175099E-2</v>
      </c>
      <c r="T193">
        <v>-3.9379999999994197E-2</v>
      </c>
      <c r="U193" s="1">
        <v>45846</v>
      </c>
      <c r="V193">
        <v>227741800</v>
      </c>
      <c r="W193">
        <v>4</v>
      </c>
      <c r="X193">
        <v>9.6297071666999994</v>
      </c>
      <c r="Y193">
        <v>49.679452833299997</v>
      </c>
      <c r="Z193">
        <v>4.6879999999999998E-2</v>
      </c>
      <c r="AA193">
        <v>476.54</v>
      </c>
      <c r="AB193">
        <v>1125.5899999999999</v>
      </c>
      <c r="AC193">
        <v>192.58</v>
      </c>
      <c r="AD193">
        <v>166.4</v>
      </c>
      <c r="AE193">
        <v>33630</v>
      </c>
      <c r="AF193">
        <v>1.4E-2</v>
      </c>
      <c r="AG193">
        <v>9.6295511667000007</v>
      </c>
      <c r="AH193">
        <v>49.679409833299999</v>
      </c>
      <c r="AI193">
        <v>12</v>
      </c>
      <c r="AJ193">
        <v>0.49</v>
      </c>
      <c r="AK193">
        <v>168.3</v>
      </c>
      <c r="AL193">
        <v>227741800</v>
      </c>
      <c r="AM193">
        <v>2.7E-2</v>
      </c>
    </row>
    <row r="194" spans="1:39" x14ac:dyDescent="0.25">
      <c r="A194">
        <v>0.44278000000002699</v>
      </c>
      <c r="B194">
        <v>275.16370000000001</v>
      </c>
      <c r="C194">
        <v>-1.11727272751991E-2</v>
      </c>
      <c r="D194">
        <v>-1.0119999999972099E-2</v>
      </c>
      <c r="E194" s="1">
        <v>45846</v>
      </c>
      <c r="F194">
        <v>227742000</v>
      </c>
      <c r="G194">
        <v>4</v>
      </c>
      <c r="H194">
        <v>9.6293811667</v>
      </c>
      <c r="I194">
        <v>49.679419833300003</v>
      </c>
      <c r="J194">
        <v>4.6489999999999997E-2</v>
      </c>
      <c r="K194">
        <v>110.93</v>
      </c>
      <c r="L194">
        <v>-1227.48</v>
      </c>
      <c r="M194">
        <v>121.34</v>
      </c>
      <c r="N194">
        <v>167.1</v>
      </c>
      <c r="O194">
        <v>33700</v>
      </c>
      <c r="P194">
        <v>4.3999999999999997E-2</v>
      </c>
      <c r="Q194">
        <v>0.25332999999999101</v>
      </c>
      <c r="R194">
        <v>67.044089999999997</v>
      </c>
      <c r="S194">
        <v>-2.2876666668778599E-2</v>
      </c>
      <c r="T194">
        <v>-9.5500000000043796E-3</v>
      </c>
      <c r="U194" s="1">
        <v>45846</v>
      </c>
      <c r="V194">
        <v>227742000</v>
      </c>
      <c r="W194">
        <v>4</v>
      </c>
      <c r="X194">
        <v>9.6297071666999994</v>
      </c>
      <c r="Y194">
        <v>49.679452833299997</v>
      </c>
      <c r="Z194">
        <v>4.6870000000000002E-2</v>
      </c>
      <c r="AA194">
        <v>476.74</v>
      </c>
      <c r="AB194">
        <v>1125.54</v>
      </c>
      <c r="AC194">
        <v>192.27</v>
      </c>
      <c r="AD194">
        <v>166.4</v>
      </c>
      <c r="AE194">
        <v>33630</v>
      </c>
      <c r="AF194">
        <v>5.0000000000000001E-3</v>
      </c>
      <c r="AG194">
        <v>9.6295511667000007</v>
      </c>
      <c r="AH194">
        <v>49.679409833299999</v>
      </c>
      <c r="AI194">
        <v>12</v>
      </c>
      <c r="AJ194">
        <v>0.49</v>
      </c>
      <c r="AK194">
        <v>168.3</v>
      </c>
      <c r="AL194">
        <v>227742000</v>
      </c>
      <c r="AM194">
        <v>0.02</v>
      </c>
    </row>
    <row r="195" spans="1:39" x14ac:dyDescent="0.25">
      <c r="A195">
        <v>0.43368000000003798</v>
      </c>
      <c r="B195">
        <v>275.15460000000002</v>
      </c>
      <c r="C195">
        <v>-2.2659999996289801E-2</v>
      </c>
      <c r="D195">
        <v>-9.0999999999894499E-3</v>
      </c>
      <c r="E195" s="1">
        <v>45846</v>
      </c>
      <c r="F195">
        <v>227742200</v>
      </c>
      <c r="G195">
        <v>4</v>
      </c>
      <c r="H195">
        <v>9.6293811667</v>
      </c>
      <c r="I195">
        <v>49.679419833300003</v>
      </c>
      <c r="J195">
        <v>4.6489999999999997E-2</v>
      </c>
      <c r="K195">
        <v>110.73</v>
      </c>
      <c r="L195">
        <v>-1227.45</v>
      </c>
      <c r="M195">
        <v>121.09</v>
      </c>
      <c r="N195">
        <v>167.1</v>
      </c>
      <c r="O195">
        <v>33700</v>
      </c>
      <c r="P195">
        <v>2.1000000000000001E-2</v>
      </c>
      <c r="Q195">
        <v>0.234020000000001</v>
      </c>
      <c r="R195">
        <v>67.024780000000007</v>
      </c>
      <c r="S195">
        <v>-2.9822424240761002E-2</v>
      </c>
      <c r="T195">
        <v>-1.9309999999990099E-2</v>
      </c>
      <c r="U195" s="1">
        <v>45846</v>
      </c>
      <c r="V195">
        <v>227742200</v>
      </c>
      <c r="W195">
        <v>4</v>
      </c>
      <c r="X195">
        <v>9.6297071666999994</v>
      </c>
      <c r="Y195">
        <v>49.679452833299997</v>
      </c>
      <c r="Z195">
        <v>4.6870000000000002E-2</v>
      </c>
      <c r="AA195">
        <v>477.13</v>
      </c>
      <c r="AB195">
        <v>1125.4100000000001</v>
      </c>
      <c r="AC195">
        <v>192.71</v>
      </c>
      <c r="AD195">
        <v>166.4</v>
      </c>
      <c r="AE195">
        <v>33630</v>
      </c>
      <c r="AF195">
        <v>4.2999999999999997E-2</v>
      </c>
      <c r="AG195">
        <v>9.6295513333000002</v>
      </c>
      <c r="AH195">
        <v>49.679409833299999</v>
      </c>
      <c r="AI195">
        <v>12</v>
      </c>
      <c r="AJ195">
        <v>0.49</v>
      </c>
      <c r="AK195">
        <v>168.3</v>
      </c>
      <c r="AL195">
        <v>227742200</v>
      </c>
      <c r="AM195">
        <v>3.3000000000000002E-2</v>
      </c>
    </row>
    <row r="196" spans="1:39" x14ac:dyDescent="0.25">
      <c r="A196">
        <v>0.44162000000000001</v>
      </c>
      <c r="B196">
        <v>275.16253999999998</v>
      </c>
      <c r="C196">
        <v>-2.74254545444991E-2</v>
      </c>
      <c r="D196">
        <v>7.9399999999623105E-3</v>
      </c>
      <c r="E196" s="1">
        <v>45846</v>
      </c>
      <c r="F196">
        <v>227742400</v>
      </c>
      <c r="G196">
        <v>4</v>
      </c>
      <c r="H196">
        <v>9.6293811667</v>
      </c>
      <c r="I196">
        <v>49.679419833300003</v>
      </c>
      <c r="J196">
        <v>4.65E-2</v>
      </c>
      <c r="K196">
        <v>110.88</v>
      </c>
      <c r="L196">
        <v>-1227.29</v>
      </c>
      <c r="M196">
        <v>121.18</v>
      </c>
      <c r="N196">
        <v>167.1</v>
      </c>
      <c r="O196">
        <v>33700</v>
      </c>
      <c r="P196">
        <v>0.01</v>
      </c>
      <c r="Q196">
        <v>0.27626999999999602</v>
      </c>
      <c r="R196">
        <v>67.067030000000003</v>
      </c>
      <c r="S196">
        <v>-1.6935757575157299E-2</v>
      </c>
      <c r="T196">
        <v>4.2249999999995597E-2</v>
      </c>
      <c r="U196" s="1">
        <v>45846</v>
      </c>
      <c r="V196">
        <v>227742400</v>
      </c>
      <c r="W196">
        <v>4</v>
      </c>
      <c r="X196">
        <v>9.6297071666999994</v>
      </c>
      <c r="Y196">
        <v>49.679452666700001</v>
      </c>
      <c r="Z196">
        <v>4.6890000000000001E-2</v>
      </c>
      <c r="AA196">
        <v>476.14</v>
      </c>
      <c r="AB196">
        <v>1125.3800000000001</v>
      </c>
      <c r="AC196">
        <v>192.44</v>
      </c>
      <c r="AD196">
        <v>166.4</v>
      </c>
      <c r="AE196">
        <v>33630</v>
      </c>
      <c r="AF196">
        <v>2.1999999999999999E-2</v>
      </c>
      <c r="AG196">
        <v>9.6295513333000002</v>
      </c>
      <c r="AH196">
        <v>49.679409833299999</v>
      </c>
      <c r="AI196">
        <v>12</v>
      </c>
      <c r="AJ196">
        <v>0.49</v>
      </c>
      <c r="AK196">
        <v>168.3</v>
      </c>
      <c r="AL196">
        <v>227742400</v>
      </c>
      <c r="AM196">
        <v>4.9000000000000002E-2</v>
      </c>
    </row>
    <row r="197" spans="1:39" x14ac:dyDescent="0.25">
      <c r="A197">
        <v>0.42468000000002298</v>
      </c>
      <c r="B197">
        <v>275.1456</v>
      </c>
      <c r="C197">
        <v>-3.5592727271696302E-2</v>
      </c>
      <c r="D197">
        <v>-1.69399999999768E-2</v>
      </c>
      <c r="E197" s="1">
        <v>45846</v>
      </c>
      <c r="F197">
        <v>227742600</v>
      </c>
      <c r="G197">
        <v>4</v>
      </c>
      <c r="H197">
        <v>9.6293811667</v>
      </c>
      <c r="I197">
        <v>49.679419666699999</v>
      </c>
      <c r="J197">
        <v>4.6489999999999997E-2</v>
      </c>
      <c r="K197">
        <v>110.54</v>
      </c>
      <c r="L197">
        <v>-1227.51</v>
      </c>
      <c r="M197">
        <v>120.79</v>
      </c>
      <c r="N197">
        <v>167.1</v>
      </c>
      <c r="O197">
        <v>33700</v>
      </c>
      <c r="P197">
        <v>1.4999999999999999E-2</v>
      </c>
      <c r="Q197">
        <v>0.27160999999999502</v>
      </c>
      <c r="R197">
        <v>67.062370000000001</v>
      </c>
      <c r="S197">
        <v>-1.4396060605669799E-2</v>
      </c>
      <c r="T197">
        <v>-4.66000000000121E-3</v>
      </c>
      <c r="U197" s="1">
        <v>45846</v>
      </c>
      <c r="V197">
        <v>227742600</v>
      </c>
      <c r="W197">
        <v>4</v>
      </c>
      <c r="X197">
        <v>9.6297071666999994</v>
      </c>
      <c r="Y197">
        <v>49.679452666700001</v>
      </c>
      <c r="Z197">
        <v>4.6890000000000001E-2</v>
      </c>
      <c r="AA197">
        <v>476.18</v>
      </c>
      <c r="AB197">
        <v>1125.2</v>
      </c>
      <c r="AC197">
        <v>192.39</v>
      </c>
      <c r="AD197">
        <v>166.4</v>
      </c>
      <c r="AE197">
        <v>33630</v>
      </c>
      <c r="AF197">
        <v>2.1000000000000001E-2</v>
      </c>
      <c r="AG197">
        <v>9.6295513333000002</v>
      </c>
      <c r="AH197">
        <v>49.679409666700003</v>
      </c>
      <c r="AI197">
        <v>12</v>
      </c>
      <c r="AJ197">
        <v>0.49</v>
      </c>
      <c r="AK197">
        <v>168.3</v>
      </c>
      <c r="AL197">
        <v>227742600</v>
      </c>
      <c r="AM197">
        <v>8.9999999999999993E-3</v>
      </c>
    </row>
    <row r="198" spans="1:39" x14ac:dyDescent="0.25">
      <c r="A198">
        <v>0.41750000000001802</v>
      </c>
      <c r="B198">
        <v>275.13842</v>
      </c>
      <c r="C198">
        <v>-3.8743636365977198E-2</v>
      </c>
      <c r="D198">
        <v>-7.1800000000052898E-3</v>
      </c>
      <c r="E198" s="1">
        <v>45846</v>
      </c>
      <c r="F198">
        <v>227742800</v>
      </c>
      <c r="G198">
        <v>4</v>
      </c>
      <c r="H198">
        <v>9.6293811667</v>
      </c>
      <c r="I198">
        <v>49.679419666699999</v>
      </c>
      <c r="J198">
        <v>4.6489999999999997E-2</v>
      </c>
      <c r="K198">
        <v>110.38</v>
      </c>
      <c r="L198">
        <v>-1227.44</v>
      </c>
      <c r="M198">
        <v>120.44</v>
      </c>
      <c r="N198">
        <v>167.1</v>
      </c>
      <c r="O198">
        <v>33700</v>
      </c>
      <c r="P198">
        <v>2.3E-2</v>
      </c>
      <c r="Q198">
        <v>0.26628999999999697</v>
      </c>
      <c r="R198">
        <v>67.057050000000004</v>
      </c>
      <c r="S198">
        <v>-1.20515151522089E-2</v>
      </c>
      <c r="T198">
        <v>-5.3199999999975402E-3</v>
      </c>
      <c r="U198" s="1">
        <v>45846</v>
      </c>
      <c r="V198">
        <v>227742800</v>
      </c>
      <c r="W198">
        <v>4</v>
      </c>
      <c r="X198">
        <v>9.6297071666999994</v>
      </c>
      <c r="Y198">
        <v>49.679452499999996</v>
      </c>
      <c r="Z198">
        <v>4.6890000000000001E-2</v>
      </c>
      <c r="AA198">
        <v>476.33</v>
      </c>
      <c r="AB198">
        <v>1125.29</v>
      </c>
      <c r="AC198">
        <v>191.81</v>
      </c>
      <c r="AD198">
        <v>166.4</v>
      </c>
      <c r="AE198">
        <v>33630</v>
      </c>
      <c r="AF198">
        <v>4.9000000000000002E-2</v>
      </c>
      <c r="AG198">
        <v>9.6295513333000002</v>
      </c>
      <c r="AH198">
        <v>49.679409666700003</v>
      </c>
      <c r="AI198">
        <v>12</v>
      </c>
      <c r="AJ198">
        <v>0.49</v>
      </c>
      <c r="AK198">
        <v>168.3</v>
      </c>
      <c r="AL198">
        <v>227742800</v>
      </c>
      <c r="AM198">
        <v>1.4999999999999999E-2</v>
      </c>
    </row>
    <row r="199" spans="1:39" x14ac:dyDescent="0.25">
      <c r="A199">
        <v>0.42168000000003703</v>
      </c>
      <c r="B199">
        <v>275.14260000000002</v>
      </c>
      <c r="C199">
        <v>-3.5097575757079301E-2</v>
      </c>
      <c r="D199">
        <v>4.1800000000193904E-3</v>
      </c>
      <c r="E199" s="1">
        <v>45846</v>
      </c>
      <c r="F199">
        <v>227743000</v>
      </c>
      <c r="G199">
        <v>4</v>
      </c>
      <c r="H199">
        <v>9.6293813332999996</v>
      </c>
      <c r="I199">
        <v>49.679419666699999</v>
      </c>
      <c r="J199">
        <v>4.65E-2</v>
      </c>
      <c r="K199">
        <v>110.45</v>
      </c>
      <c r="L199">
        <v>-1227.29</v>
      </c>
      <c r="M199">
        <v>120.92</v>
      </c>
      <c r="N199">
        <v>167.1</v>
      </c>
      <c r="O199">
        <v>33700</v>
      </c>
      <c r="P199">
        <v>2.3E-2</v>
      </c>
      <c r="Q199">
        <v>0.26720999999999101</v>
      </c>
      <c r="R199">
        <v>67.057969999999997</v>
      </c>
      <c r="S199">
        <v>-7.61636363648149E-3</v>
      </c>
      <c r="T199">
        <v>9.1999999999359196E-4</v>
      </c>
      <c r="U199" s="1">
        <v>45846</v>
      </c>
      <c r="V199">
        <v>227743000</v>
      </c>
      <c r="W199">
        <v>4</v>
      </c>
      <c r="X199">
        <v>9.6297071666999994</v>
      </c>
      <c r="Y199">
        <v>49.679452499999996</v>
      </c>
      <c r="Z199">
        <v>4.6879999999999998E-2</v>
      </c>
      <c r="AA199">
        <v>476.37</v>
      </c>
      <c r="AB199">
        <v>1125.4100000000001</v>
      </c>
      <c r="AC199">
        <v>192.4</v>
      </c>
      <c r="AD199">
        <v>166.4</v>
      </c>
      <c r="AE199">
        <v>33630</v>
      </c>
      <c r="AF199">
        <v>0.02</v>
      </c>
      <c r="AG199">
        <v>9.6295513333000002</v>
      </c>
      <c r="AH199">
        <v>49.679409666700003</v>
      </c>
      <c r="AI199">
        <v>12</v>
      </c>
      <c r="AJ199">
        <v>0.49</v>
      </c>
      <c r="AK199">
        <v>168.3</v>
      </c>
      <c r="AL199">
        <v>227743000</v>
      </c>
      <c r="AM199">
        <v>1.9E-2</v>
      </c>
    </row>
    <row r="200" spans="1:39" x14ac:dyDescent="0.25">
      <c r="A200">
        <v>0.42137999999999898</v>
      </c>
      <c r="B200">
        <v>275.14229999999998</v>
      </c>
      <c r="C200">
        <v>-2.9069696970988601E-2</v>
      </c>
      <c r="D200">
        <v>-3.0000000003838003E-4</v>
      </c>
      <c r="E200" s="1">
        <v>45846</v>
      </c>
      <c r="F200">
        <v>227743200</v>
      </c>
      <c r="G200">
        <v>4</v>
      </c>
      <c r="H200">
        <v>9.6293813332999996</v>
      </c>
      <c r="I200">
        <v>49.679419666699999</v>
      </c>
      <c r="J200">
        <v>4.6489999999999997E-2</v>
      </c>
      <c r="K200">
        <v>110.45</v>
      </c>
      <c r="L200">
        <v>-1227.3499999999999</v>
      </c>
      <c r="M200">
        <v>121</v>
      </c>
      <c r="N200">
        <v>167.1</v>
      </c>
      <c r="O200">
        <v>33700</v>
      </c>
      <c r="P200">
        <v>2.3E-2</v>
      </c>
      <c r="Q200">
        <v>0.260369999999994</v>
      </c>
      <c r="R200">
        <v>67.051130000000001</v>
      </c>
      <c r="S200">
        <v>-6.5396969704193597E-3</v>
      </c>
      <c r="T200">
        <v>-6.8399999999968399E-3</v>
      </c>
      <c r="U200" s="1">
        <v>45846</v>
      </c>
      <c r="V200">
        <v>227743200</v>
      </c>
      <c r="W200">
        <v>4</v>
      </c>
      <c r="X200">
        <v>9.6297073333000007</v>
      </c>
      <c r="Y200">
        <v>49.679452499999996</v>
      </c>
      <c r="Z200">
        <v>4.6890000000000001E-2</v>
      </c>
      <c r="AA200">
        <v>476.44</v>
      </c>
      <c r="AB200">
        <v>1125.22</v>
      </c>
      <c r="AC200">
        <v>192.28</v>
      </c>
      <c r="AD200">
        <v>166.4</v>
      </c>
      <c r="AE200">
        <v>33630</v>
      </c>
      <c r="AF200">
        <v>1.4999999999999999E-2</v>
      </c>
      <c r="AG200">
        <v>9.6295513333000002</v>
      </c>
      <c r="AH200">
        <v>49.679409666700003</v>
      </c>
      <c r="AI200">
        <v>12</v>
      </c>
      <c r="AJ200">
        <v>0.49</v>
      </c>
      <c r="AK200">
        <v>168.3</v>
      </c>
      <c r="AL200">
        <v>227743200</v>
      </c>
      <c r="AM200">
        <v>3.2000000000000001E-2</v>
      </c>
    </row>
    <row r="201" spans="1:39" x14ac:dyDescent="0.25">
      <c r="A201">
        <v>0.42294000000003901</v>
      </c>
      <c r="B201">
        <v>275.14386000000002</v>
      </c>
      <c r="C201">
        <v>-2.2187272725970299E-2</v>
      </c>
      <c r="D201">
        <v>1.5600000000404099E-3</v>
      </c>
      <c r="E201" s="1">
        <v>45846</v>
      </c>
      <c r="F201">
        <v>227743400</v>
      </c>
      <c r="G201">
        <v>4</v>
      </c>
      <c r="H201">
        <v>9.6293813332999996</v>
      </c>
      <c r="I201">
        <v>49.679419666699999</v>
      </c>
      <c r="J201">
        <v>4.6489999999999997E-2</v>
      </c>
      <c r="K201">
        <v>110.48</v>
      </c>
      <c r="L201">
        <v>-1227.3499999999999</v>
      </c>
      <c r="M201">
        <v>121.12</v>
      </c>
      <c r="N201">
        <v>167.1</v>
      </c>
      <c r="O201">
        <v>33700</v>
      </c>
      <c r="P201">
        <v>3.5999999999999997E-2</v>
      </c>
      <c r="Q201">
        <v>0.23327999999999299</v>
      </c>
      <c r="R201">
        <v>67.024039999999999</v>
      </c>
      <c r="S201">
        <v>-1.44496969710298E-2</v>
      </c>
      <c r="T201">
        <v>-2.7090000000001099E-2</v>
      </c>
      <c r="U201" s="1">
        <v>45846</v>
      </c>
      <c r="V201">
        <v>227743400</v>
      </c>
      <c r="W201">
        <v>4</v>
      </c>
      <c r="X201">
        <v>9.6297073333000007</v>
      </c>
      <c r="Y201">
        <v>49.679452666700001</v>
      </c>
      <c r="Z201">
        <v>4.6879999999999998E-2</v>
      </c>
      <c r="AA201">
        <v>477.11</v>
      </c>
      <c r="AB201">
        <v>1125.31</v>
      </c>
      <c r="AC201">
        <v>192.46</v>
      </c>
      <c r="AD201">
        <v>166.4</v>
      </c>
      <c r="AE201">
        <v>33630</v>
      </c>
      <c r="AF201">
        <v>5.6000000000000001E-2</v>
      </c>
      <c r="AG201">
        <v>9.6295514999999998</v>
      </c>
      <c r="AH201">
        <v>49.679409666700003</v>
      </c>
      <c r="AI201">
        <v>12</v>
      </c>
      <c r="AJ201">
        <v>0.49</v>
      </c>
      <c r="AK201">
        <v>168.3</v>
      </c>
      <c r="AL201">
        <v>227743400</v>
      </c>
      <c r="AM201">
        <v>2.5000000000000001E-2</v>
      </c>
    </row>
    <row r="202" spans="1:39" x14ac:dyDescent="0.25">
      <c r="A202">
        <v>0.43572000000000299</v>
      </c>
      <c r="B202">
        <v>275.15663999999998</v>
      </c>
      <c r="C202">
        <v>-1.2787878787797699E-2</v>
      </c>
      <c r="D202">
        <v>1.2779999999963799E-2</v>
      </c>
      <c r="E202" s="1">
        <v>45846</v>
      </c>
      <c r="F202">
        <v>227743600</v>
      </c>
      <c r="G202">
        <v>4</v>
      </c>
      <c r="H202">
        <v>9.6293813332999996</v>
      </c>
      <c r="I202">
        <v>49.679419500000002</v>
      </c>
      <c r="J202">
        <v>4.6489999999999997E-2</v>
      </c>
      <c r="K202">
        <v>110.76</v>
      </c>
      <c r="L202">
        <v>-1227.33</v>
      </c>
      <c r="M202">
        <v>120.95</v>
      </c>
      <c r="N202">
        <v>167.1</v>
      </c>
      <c r="O202">
        <v>33700</v>
      </c>
      <c r="P202">
        <v>3.4000000000000002E-2</v>
      </c>
      <c r="Q202">
        <v>0.239199999999996</v>
      </c>
      <c r="R202">
        <v>67.029960000000003</v>
      </c>
      <c r="S202">
        <v>-7.7036363633269699E-3</v>
      </c>
      <c r="T202">
        <v>5.9200000000032499E-3</v>
      </c>
      <c r="U202" s="1">
        <v>45846</v>
      </c>
      <c r="V202">
        <v>227743600</v>
      </c>
      <c r="W202">
        <v>4</v>
      </c>
      <c r="X202">
        <v>9.6297073333000007</v>
      </c>
      <c r="Y202">
        <v>49.679452499999996</v>
      </c>
      <c r="Z202">
        <v>4.6870000000000002E-2</v>
      </c>
      <c r="AA202">
        <v>477.06</v>
      </c>
      <c r="AB202">
        <v>1125.52</v>
      </c>
      <c r="AC202">
        <v>192.5</v>
      </c>
      <c r="AD202">
        <v>166.4</v>
      </c>
      <c r="AE202">
        <v>33630</v>
      </c>
      <c r="AF202">
        <v>1.7999999999999999E-2</v>
      </c>
      <c r="AG202">
        <v>9.6295514999999998</v>
      </c>
      <c r="AH202">
        <v>49.679409499999998</v>
      </c>
      <c r="AI202">
        <v>12</v>
      </c>
      <c r="AJ202">
        <v>0.49</v>
      </c>
      <c r="AK202">
        <v>168.3</v>
      </c>
      <c r="AL202">
        <v>227743600</v>
      </c>
      <c r="AM202">
        <v>8.8999999999999996E-2</v>
      </c>
    </row>
    <row r="203" spans="1:39" x14ac:dyDescent="0.25">
      <c r="A203">
        <v>0.43612000000001599</v>
      </c>
      <c r="B203">
        <v>275.15703999999999</v>
      </c>
      <c r="C203">
        <v>-4.38727272769995E-3</v>
      </c>
      <c r="D203">
        <v>4.0000000001327803E-4</v>
      </c>
      <c r="E203" s="1">
        <v>45846</v>
      </c>
      <c r="F203">
        <v>227743800</v>
      </c>
      <c r="G203">
        <v>4</v>
      </c>
      <c r="H203">
        <v>9.6293813332999996</v>
      </c>
      <c r="I203">
        <v>49.679419500000002</v>
      </c>
      <c r="J203">
        <v>4.6489999999999997E-2</v>
      </c>
      <c r="K203">
        <v>110.77</v>
      </c>
      <c r="L203">
        <v>-1227.3699999999999</v>
      </c>
      <c r="M203">
        <v>120.45</v>
      </c>
      <c r="N203">
        <v>167.1</v>
      </c>
      <c r="O203">
        <v>33700</v>
      </c>
      <c r="P203">
        <v>2.7E-2</v>
      </c>
      <c r="Q203">
        <v>0.24012999999999299</v>
      </c>
      <c r="R203">
        <v>67.030889999999999</v>
      </c>
      <c r="S203">
        <v>-1.00087878770389E-2</v>
      </c>
      <c r="T203">
        <v>9.2999999999676599E-4</v>
      </c>
      <c r="U203" s="1">
        <v>45846</v>
      </c>
      <c r="V203">
        <v>227743800</v>
      </c>
      <c r="W203">
        <v>4</v>
      </c>
      <c r="X203">
        <v>9.6297073333000007</v>
      </c>
      <c r="Y203">
        <v>49.679452499999996</v>
      </c>
      <c r="Z203">
        <v>4.6870000000000002E-2</v>
      </c>
      <c r="AA203">
        <v>477.02</v>
      </c>
      <c r="AB203">
        <v>1125.48</v>
      </c>
      <c r="AC203">
        <v>191.79</v>
      </c>
      <c r="AD203">
        <v>166.4</v>
      </c>
      <c r="AE203">
        <v>33630</v>
      </c>
      <c r="AF203">
        <v>0.02</v>
      </c>
      <c r="AG203">
        <v>9.6295514999999998</v>
      </c>
      <c r="AH203">
        <v>49.679409499999998</v>
      </c>
      <c r="AI203">
        <v>12</v>
      </c>
      <c r="AJ203">
        <v>0.49</v>
      </c>
      <c r="AK203">
        <v>168.3</v>
      </c>
      <c r="AL203">
        <v>227743800</v>
      </c>
      <c r="AM203">
        <v>1.6E-2</v>
      </c>
    </row>
    <row r="204" spans="1:39" x14ac:dyDescent="0.25">
      <c r="A204">
        <v>0.43764000000004399</v>
      </c>
      <c r="B204">
        <v>275.15856000000002</v>
      </c>
      <c r="C204">
        <v>2.0715151511683902E-3</v>
      </c>
      <c r="D204">
        <v>1.5200000000277201E-3</v>
      </c>
      <c r="E204" s="1">
        <v>45846</v>
      </c>
      <c r="F204">
        <v>227744000</v>
      </c>
      <c r="G204">
        <v>4</v>
      </c>
      <c r="H204">
        <v>9.6293814999999991</v>
      </c>
      <c r="I204">
        <v>49.679419500000002</v>
      </c>
      <c r="J204">
        <v>4.6489999999999997E-2</v>
      </c>
      <c r="K204">
        <v>110.8</v>
      </c>
      <c r="L204">
        <v>-1227.3399999999999</v>
      </c>
      <c r="M204">
        <v>120.8</v>
      </c>
      <c r="N204">
        <v>167.1</v>
      </c>
      <c r="O204">
        <v>33700</v>
      </c>
      <c r="P204">
        <v>2.8000000000000001E-2</v>
      </c>
      <c r="Q204">
        <v>0.24389999999999601</v>
      </c>
      <c r="R204">
        <v>67.034660000000002</v>
      </c>
      <c r="S204">
        <v>-1.30903030285737E-2</v>
      </c>
      <c r="T204">
        <v>3.7700000000029299E-3</v>
      </c>
      <c r="U204" s="1">
        <v>45846</v>
      </c>
      <c r="V204">
        <v>227744000</v>
      </c>
      <c r="W204">
        <v>4</v>
      </c>
      <c r="X204">
        <v>9.6297075000000003</v>
      </c>
      <c r="Y204">
        <v>49.679452333299999</v>
      </c>
      <c r="Z204">
        <v>4.6870000000000002E-2</v>
      </c>
      <c r="AA204">
        <v>476.95</v>
      </c>
      <c r="AB204">
        <v>1125.52</v>
      </c>
      <c r="AC204">
        <v>192.55</v>
      </c>
      <c r="AD204">
        <v>166.4</v>
      </c>
      <c r="AE204">
        <v>33630</v>
      </c>
      <c r="AF204">
        <v>4.9000000000000002E-2</v>
      </c>
      <c r="AG204">
        <v>9.6295514999999998</v>
      </c>
      <c r="AH204">
        <v>49.679409499999998</v>
      </c>
      <c r="AI204">
        <v>12</v>
      </c>
      <c r="AJ204">
        <v>0.49</v>
      </c>
      <c r="AK204">
        <v>168.3</v>
      </c>
      <c r="AL204">
        <v>227744000</v>
      </c>
      <c r="AM204">
        <v>5.6000000000000001E-2</v>
      </c>
    </row>
    <row r="205" spans="1:39" x14ac:dyDescent="0.25">
      <c r="A205">
        <v>0.450680000000034</v>
      </c>
      <c r="B205">
        <v>275.17160000000001</v>
      </c>
      <c r="C205">
        <v>1.43684323163969E-2</v>
      </c>
      <c r="D205">
        <v>-6.43999999999778E-3</v>
      </c>
      <c r="E205" s="1">
        <v>45846</v>
      </c>
      <c r="F205">
        <v>227745500</v>
      </c>
      <c r="G205">
        <v>4</v>
      </c>
      <c r="H205">
        <v>9.6293814999999991</v>
      </c>
      <c r="I205">
        <v>49.679419333299997</v>
      </c>
      <c r="J205">
        <v>4.648E-2</v>
      </c>
      <c r="K205">
        <v>111.11</v>
      </c>
      <c r="L205">
        <v>-1227.6500000000001</v>
      </c>
      <c r="M205">
        <v>119.81</v>
      </c>
      <c r="N205">
        <v>167.1</v>
      </c>
      <c r="O205">
        <v>33700</v>
      </c>
      <c r="P205">
        <v>0.04</v>
      </c>
      <c r="Q205">
        <v>0.30909999999999999</v>
      </c>
      <c r="R205">
        <v>67.099860000000007</v>
      </c>
      <c r="S205">
        <v>9.2642330028874006E-3</v>
      </c>
      <c r="T205">
        <v>6.2980000000010194E-2</v>
      </c>
      <c r="U205" s="1">
        <v>45846</v>
      </c>
      <c r="V205">
        <v>227745500</v>
      </c>
      <c r="W205">
        <v>4</v>
      </c>
      <c r="X205">
        <v>9.6297076666999999</v>
      </c>
      <c r="Y205">
        <v>49.679451999999998</v>
      </c>
      <c r="Z205">
        <v>4.6890000000000001E-2</v>
      </c>
      <c r="AA205">
        <v>475.47</v>
      </c>
      <c r="AB205">
        <v>1125.5899999999999</v>
      </c>
      <c r="AC205">
        <v>191.52</v>
      </c>
      <c r="AD205">
        <v>166.4</v>
      </c>
      <c r="AE205">
        <v>33630</v>
      </c>
      <c r="AF205">
        <v>2.3E-2</v>
      </c>
      <c r="AG205">
        <v>9.6295516666999994</v>
      </c>
      <c r="AH205">
        <v>49.679409333300001</v>
      </c>
      <c r="AI205">
        <v>12</v>
      </c>
      <c r="AJ205">
        <v>0.49</v>
      </c>
      <c r="AK205">
        <v>168.3</v>
      </c>
      <c r="AL205">
        <v>227745500</v>
      </c>
      <c r="AM205">
        <v>0.02</v>
      </c>
    </row>
    <row r="206" spans="1:39" x14ac:dyDescent="0.25">
      <c r="A206">
        <v>0.459540000000004</v>
      </c>
      <c r="B206">
        <v>275.18045999999998</v>
      </c>
      <c r="C206">
        <v>1.37415784079055E-2</v>
      </c>
      <c r="D206">
        <v>8.8599999999701105E-3</v>
      </c>
      <c r="E206" s="1">
        <v>45846</v>
      </c>
      <c r="F206">
        <v>227745700</v>
      </c>
      <c r="G206">
        <v>4</v>
      </c>
      <c r="H206">
        <v>9.6293814999999991</v>
      </c>
      <c r="I206">
        <v>49.679419333299997</v>
      </c>
      <c r="J206">
        <v>4.648E-2</v>
      </c>
      <c r="K206">
        <v>111.29</v>
      </c>
      <c r="L206">
        <v>-1227.57</v>
      </c>
      <c r="M206">
        <v>120.39</v>
      </c>
      <c r="N206">
        <v>167.1</v>
      </c>
      <c r="O206">
        <v>33700</v>
      </c>
      <c r="P206">
        <v>1.0999999999999999E-2</v>
      </c>
      <c r="Q206">
        <v>0.29907999999998902</v>
      </c>
      <c r="R206">
        <v>67.089839999999995</v>
      </c>
      <c r="S206">
        <v>1.7240338052805702E-2</v>
      </c>
      <c r="T206">
        <v>-1.00200000000114E-2</v>
      </c>
      <c r="U206" s="1">
        <v>45846</v>
      </c>
      <c r="V206">
        <v>227745700</v>
      </c>
      <c r="W206">
        <v>4</v>
      </c>
      <c r="X206">
        <v>9.6297076666999999</v>
      </c>
      <c r="Y206">
        <v>49.679451999999998</v>
      </c>
      <c r="Z206">
        <v>4.6899999999999997E-2</v>
      </c>
      <c r="AA206">
        <v>475.63</v>
      </c>
      <c r="AB206">
        <v>1125.4100000000001</v>
      </c>
      <c r="AC206">
        <v>191.65</v>
      </c>
      <c r="AD206">
        <v>166.4</v>
      </c>
      <c r="AE206">
        <v>33630</v>
      </c>
      <c r="AF206">
        <v>0.04</v>
      </c>
      <c r="AG206">
        <v>9.6295518333000008</v>
      </c>
      <c r="AH206">
        <v>49.679409333300001</v>
      </c>
      <c r="AI206">
        <v>12</v>
      </c>
      <c r="AJ206">
        <v>0.49</v>
      </c>
      <c r="AK206">
        <v>168.3</v>
      </c>
      <c r="AL206">
        <v>227745700</v>
      </c>
      <c r="AM206">
        <v>4.2999999999999997E-2</v>
      </c>
    </row>
    <row r="207" spans="1:39" x14ac:dyDescent="0.25">
      <c r="A207">
        <v>0.45510000000001499</v>
      </c>
      <c r="B207">
        <v>275.17601999999999</v>
      </c>
      <c r="C207">
        <v>1.2300836469889701E-2</v>
      </c>
      <c r="D207">
        <v>-4.4399999999882303E-3</v>
      </c>
      <c r="E207" s="1">
        <v>45846</v>
      </c>
      <c r="F207">
        <v>227745900</v>
      </c>
      <c r="G207">
        <v>4</v>
      </c>
      <c r="H207">
        <v>9.6293814999999991</v>
      </c>
      <c r="I207">
        <v>49.679419333299997</v>
      </c>
      <c r="J207">
        <v>4.6489999999999997E-2</v>
      </c>
      <c r="K207">
        <v>111.19</v>
      </c>
      <c r="L207">
        <v>-1227.49</v>
      </c>
      <c r="M207">
        <v>119.98</v>
      </c>
      <c r="N207">
        <v>167.1</v>
      </c>
      <c r="O207">
        <v>33700</v>
      </c>
      <c r="P207">
        <v>1.9E-2</v>
      </c>
      <c r="Q207">
        <v>0.29380999999999302</v>
      </c>
      <c r="R207">
        <v>67.084569999999999</v>
      </c>
      <c r="S207">
        <v>2.05489914909616E-2</v>
      </c>
      <c r="T207">
        <v>-5.2699999999958804E-3</v>
      </c>
      <c r="U207" s="1">
        <v>45846</v>
      </c>
      <c r="V207">
        <v>227745900</v>
      </c>
      <c r="W207">
        <v>4</v>
      </c>
      <c r="X207">
        <v>9.6297076666999999</v>
      </c>
      <c r="Y207">
        <v>49.679451999999998</v>
      </c>
      <c r="Z207">
        <v>4.6890000000000001E-2</v>
      </c>
      <c r="AA207">
        <v>475.8</v>
      </c>
      <c r="AB207">
        <v>1125.54</v>
      </c>
      <c r="AC207">
        <v>191.97</v>
      </c>
      <c r="AD207">
        <v>166.4</v>
      </c>
      <c r="AE207">
        <v>33630</v>
      </c>
      <c r="AF207">
        <v>5.1999999999999998E-2</v>
      </c>
      <c r="AG207">
        <v>9.6295518333000008</v>
      </c>
      <c r="AH207">
        <v>49.679409166699998</v>
      </c>
      <c r="AI207">
        <v>12</v>
      </c>
      <c r="AJ207">
        <v>0.49</v>
      </c>
      <c r="AK207">
        <v>168.3</v>
      </c>
      <c r="AL207">
        <v>227745900</v>
      </c>
      <c r="AM207">
        <v>2.3E-2</v>
      </c>
    </row>
    <row r="208" spans="1:39" x14ac:dyDescent="0.25">
      <c r="A208">
        <v>0.45740000000000602</v>
      </c>
      <c r="B208">
        <v>275.17831999999999</v>
      </c>
      <c r="C208">
        <v>1.0642849872780901E-2</v>
      </c>
      <c r="D208">
        <v>2.29999999999108E-3</v>
      </c>
      <c r="E208" s="1">
        <v>45846</v>
      </c>
      <c r="F208">
        <v>227746100</v>
      </c>
      <c r="G208">
        <v>4</v>
      </c>
      <c r="H208">
        <v>9.6293814999999991</v>
      </c>
      <c r="I208">
        <v>49.679419333299997</v>
      </c>
      <c r="J208">
        <v>4.6489999999999997E-2</v>
      </c>
      <c r="K208">
        <v>111.22</v>
      </c>
      <c r="L208">
        <v>-1227.28</v>
      </c>
      <c r="M208">
        <v>120.39</v>
      </c>
      <c r="N208">
        <v>167.1</v>
      </c>
      <c r="O208">
        <v>33700</v>
      </c>
      <c r="P208">
        <v>2.1999999999999999E-2</v>
      </c>
      <c r="Q208">
        <v>0.29160999999999099</v>
      </c>
      <c r="R208">
        <v>67.082369999999997</v>
      </c>
      <c r="S208">
        <v>2.3110066177166499E-2</v>
      </c>
      <c r="T208">
        <v>-2.2000000000019699E-3</v>
      </c>
      <c r="U208" s="1">
        <v>45846</v>
      </c>
      <c r="V208">
        <v>227746100</v>
      </c>
      <c r="W208">
        <v>4</v>
      </c>
      <c r="X208">
        <v>9.6297078332999995</v>
      </c>
      <c r="Y208">
        <v>49.679451999999998</v>
      </c>
      <c r="Z208">
        <v>4.6879999999999998E-2</v>
      </c>
      <c r="AA208">
        <v>475.88</v>
      </c>
      <c r="AB208">
        <v>1125.6099999999999</v>
      </c>
      <c r="AC208">
        <v>191.69</v>
      </c>
      <c r="AD208">
        <v>166.4</v>
      </c>
      <c r="AE208">
        <v>33630</v>
      </c>
      <c r="AF208">
        <v>2.5999999999999999E-2</v>
      </c>
      <c r="AG208">
        <v>9.6295518333000008</v>
      </c>
      <c r="AH208">
        <v>49.679409166699998</v>
      </c>
      <c r="AI208">
        <v>12</v>
      </c>
      <c r="AJ208">
        <v>0.49</v>
      </c>
      <c r="AK208">
        <v>168.3</v>
      </c>
      <c r="AL208">
        <v>227746100</v>
      </c>
      <c r="AM208">
        <v>0.02</v>
      </c>
    </row>
    <row r="209" spans="1:39" x14ac:dyDescent="0.25">
      <c r="A209">
        <v>0.44480000000004299</v>
      </c>
      <c r="B209">
        <v>275.16572000000002</v>
      </c>
      <c r="C209">
        <v>6.7421162692592601E-3</v>
      </c>
      <c r="D209">
        <v>-1.25999999999635E-2</v>
      </c>
      <c r="E209" s="1">
        <v>45846</v>
      </c>
      <c r="F209">
        <v>227746300</v>
      </c>
      <c r="G209">
        <v>4</v>
      </c>
      <c r="H209">
        <v>9.6293814999999991</v>
      </c>
      <c r="I209">
        <v>49.679419333299997</v>
      </c>
      <c r="J209">
        <v>4.6489999999999997E-2</v>
      </c>
      <c r="K209">
        <v>110.96</v>
      </c>
      <c r="L209">
        <v>-1227.3599999999999</v>
      </c>
      <c r="M209">
        <v>120.27</v>
      </c>
      <c r="N209">
        <v>167.1</v>
      </c>
      <c r="O209">
        <v>33700</v>
      </c>
      <c r="P209">
        <v>4.2999999999999997E-2</v>
      </c>
      <c r="Q209">
        <v>0.28558999999999901</v>
      </c>
      <c r="R209">
        <v>67.076350000000005</v>
      </c>
      <c r="S209">
        <v>2.4149344608340499E-2</v>
      </c>
      <c r="T209">
        <v>-6.0199999999923596E-3</v>
      </c>
      <c r="U209" s="1">
        <v>45846</v>
      </c>
      <c r="V209">
        <v>227746300</v>
      </c>
      <c r="W209">
        <v>4</v>
      </c>
      <c r="X209">
        <v>9.6297076666999999</v>
      </c>
      <c r="Y209">
        <v>49.679451999999998</v>
      </c>
      <c r="Z209">
        <v>4.6899999999999997E-2</v>
      </c>
      <c r="AA209">
        <v>475.86</v>
      </c>
      <c r="AB209">
        <v>1125.22</v>
      </c>
      <c r="AC209">
        <v>192.08</v>
      </c>
      <c r="AD209">
        <v>166.4</v>
      </c>
      <c r="AE209">
        <v>33630</v>
      </c>
      <c r="AF209">
        <v>3.7999999999999999E-2</v>
      </c>
      <c r="AG209">
        <v>9.6295518333000008</v>
      </c>
      <c r="AH209">
        <v>49.679409166699998</v>
      </c>
      <c r="AI209">
        <v>12</v>
      </c>
      <c r="AJ209">
        <v>0.49</v>
      </c>
      <c r="AK209">
        <v>168.3</v>
      </c>
      <c r="AL209">
        <v>227746300</v>
      </c>
      <c r="AM209">
        <v>5.7000000000000002E-2</v>
      </c>
    </row>
    <row r="210" spans="1:39" x14ac:dyDescent="0.25">
      <c r="A210">
        <v>0.43728000000004302</v>
      </c>
      <c r="B210">
        <v>275.15820000000002</v>
      </c>
      <c r="C210">
        <v>3.3482974604471102E-3</v>
      </c>
      <c r="D210">
        <v>-7.5199999999995201E-3</v>
      </c>
      <c r="E210" s="1">
        <v>45846</v>
      </c>
      <c r="F210">
        <v>227746500</v>
      </c>
      <c r="G210">
        <v>4</v>
      </c>
      <c r="H210">
        <v>9.6293816667000005</v>
      </c>
      <c r="I210">
        <v>49.679419166700001</v>
      </c>
      <c r="J210">
        <v>4.648E-2</v>
      </c>
      <c r="K210">
        <v>110.83</v>
      </c>
      <c r="L210">
        <v>-1227.69</v>
      </c>
      <c r="M210">
        <v>120.07</v>
      </c>
      <c r="N210">
        <v>167.1</v>
      </c>
      <c r="O210">
        <v>33700</v>
      </c>
      <c r="P210">
        <v>4.2999999999999997E-2</v>
      </c>
      <c r="Q210">
        <v>0.27456999999999698</v>
      </c>
      <c r="R210">
        <v>67.065330000000003</v>
      </c>
      <c r="S210">
        <v>2.0262835247489799E-2</v>
      </c>
      <c r="T210">
        <v>-1.1020000000002E-2</v>
      </c>
      <c r="U210" s="1">
        <v>45846</v>
      </c>
      <c r="V210">
        <v>227746500</v>
      </c>
      <c r="W210">
        <v>4</v>
      </c>
      <c r="X210">
        <v>9.6297078332999995</v>
      </c>
      <c r="Y210">
        <v>49.679451999999998</v>
      </c>
      <c r="Z210">
        <v>4.6890000000000001E-2</v>
      </c>
      <c r="AA210">
        <v>476.18</v>
      </c>
      <c r="AB210">
        <v>1125.3699999999999</v>
      </c>
      <c r="AC210">
        <v>191.94</v>
      </c>
      <c r="AD210">
        <v>166.4</v>
      </c>
      <c r="AE210">
        <v>33630</v>
      </c>
      <c r="AF210">
        <v>1.2999999999999999E-2</v>
      </c>
      <c r="AG210">
        <v>9.6295520000000003</v>
      </c>
      <c r="AH210">
        <v>49.679409166699998</v>
      </c>
      <c r="AI210">
        <v>12</v>
      </c>
      <c r="AJ210">
        <v>0.49</v>
      </c>
      <c r="AK210">
        <v>168.3</v>
      </c>
      <c r="AL210">
        <v>227746500</v>
      </c>
      <c r="AM210">
        <v>3.3000000000000002E-2</v>
      </c>
    </row>
    <row r="211" spans="1:39" x14ac:dyDescent="0.25">
      <c r="A211">
        <v>0.43873999999999502</v>
      </c>
      <c r="B211">
        <v>275.15965999999997</v>
      </c>
      <c r="C211">
        <v>-5.3060460112333205E-4</v>
      </c>
      <c r="D211">
        <v>1.4599999999518299E-3</v>
      </c>
      <c r="E211" s="1">
        <v>45846</v>
      </c>
      <c r="F211">
        <v>227746700</v>
      </c>
      <c r="G211">
        <v>4</v>
      </c>
      <c r="H211">
        <v>9.6293818333000001</v>
      </c>
      <c r="I211">
        <v>49.679419166700001</v>
      </c>
      <c r="J211">
        <v>4.6489999999999997E-2</v>
      </c>
      <c r="K211">
        <v>110.84</v>
      </c>
      <c r="L211">
        <v>-1227.45</v>
      </c>
      <c r="M211">
        <v>119.69</v>
      </c>
      <c r="N211">
        <v>167.1</v>
      </c>
      <c r="O211">
        <v>33700</v>
      </c>
      <c r="P211">
        <v>3.2000000000000001E-2</v>
      </c>
      <c r="Q211">
        <v>0.27783999999999698</v>
      </c>
      <c r="R211">
        <v>67.068600000000004</v>
      </c>
      <c r="S211">
        <v>1.6975575948233901E-2</v>
      </c>
      <c r="T211">
        <v>3.2700000000005498E-3</v>
      </c>
      <c r="U211" s="1">
        <v>45846</v>
      </c>
      <c r="V211">
        <v>227746700</v>
      </c>
      <c r="W211">
        <v>4</v>
      </c>
      <c r="X211">
        <v>9.6297078332999995</v>
      </c>
      <c r="Y211">
        <v>49.679451999999998</v>
      </c>
      <c r="Z211">
        <v>4.6890000000000001E-2</v>
      </c>
      <c r="AA211">
        <v>476.13</v>
      </c>
      <c r="AB211">
        <v>1125.44</v>
      </c>
      <c r="AC211">
        <v>191.82</v>
      </c>
      <c r="AD211">
        <v>166.4</v>
      </c>
      <c r="AE211">
        <v>33630</v>
      </c>
      <c r="AF211">
        <v>3.5000000000000003E-2</v>
      </c>
      <c r="AG211">
        <v>9.6295520000000003</v>
      </c>
      <c r="AH211">
        <v>49.679409166699998</v>
      </c>
      <c r="AI211">
        <v>12</v>
      </c>
      <c r="AJ211">
        <v>0.49</v>
      </c>
      <c r="AK211">
        <v>168.3</v>
      </c>
      <c r="AL211">
        <v>227746700</v>
      </c>
      <c r="AM211">
        <v>3.5000000000000003E-2</v>
      </c>
    </row>
    <row r="212" spans="1:39" x14ac:dyDescent="0.25">
      <c r="A212">
        <v>0.43036000000000701</v>
      </c>
      <c r="B212">
        <v>275.15127999999999</v>
      </c>
      <c r="C212">
        <v>-7.7400601865005398E-3</v>
      </c>
      <c r="D212">
        <v>-8.3799999999882805E-3</v>
      </c>
      <c r="E212" s="1">
        <v>45846</v>
      </c>
      <c r="F212">
        <v>227746900</v>
      </c>
      <c r="G212">
        <v>4</v>
      </c>
      <c r="H212">
        <v>9.6293818333000001</v>
      </c>
      <c r="I212">
        <v>49.679419166700001</v>
      </c>
      <c r="J212">
        <v>4.648E-2</v>
      </c>
      <c r="K212">
        <v>110.67</v>
      </c>
      <c r="L212">
        <v>-1227.6199999999999</v>
      </c>
      <c r="M212">
        <v>119.93</v>
      </c>
      <c r="N212">
        <v>167.1</v>
      </c>
      <c r="O212">
        <v>33700</v>
      </c>
      <c r="P212">
        <v>0.02</v>
      </c>
      <c r="Q212">
        <v>0.274359999999987</v>
      </c>
      <c r="R212">
        <v>67.065119999999993</v>
      </c>
      <c r="S212">
        <v>1.1898081315826099E-2</v>
      </c>
      <c r="T212">
        <v>-3.4800000000103598E-3</v>
      </c>
      <c r="U212" s="1">
        <v>45846</v>
      </c>
      <c r="V212">
        <v>227746900</v>
      </c>
      <c r="W212">
        <v>4</v>
      </c>
      <c r="X212">
        <v>9.6297078332999995</v>
      </c>
      <c r="Y212">
        <v>49.679451999999998</v>
      </c>
      <c r="Z212">
        <v>4.6879999999999998E-2</v>
      </c>
      <c r="AA212">
        <v>476.23</v>
      </c>
      <c r="AB212">
        <v>1125.49</v>
      </c>
      <c r="AC212">
        <v>191.91</v>
      </c>
      <c r="AD212">
        <v>166.4</v>
      </c>
      <c r="AE212">
        <v>33630</v>
      </c>
      <c r="AF212">
        <v>2.3E-2</v>
      </c>
      <c r="AG212">
        <v>9.6295520000000003</v>
      </c>
      <c r="AH212">
        <v>49.679409166699998</v>
      </c>
      <c r="AI212">
        <v>12</v>
      </c>
      <c r="AJ212">
        <v>0.49</v>
      </c>
      <c r="AK212">
        <v>168.3</v>
      </c>
      <c r="AL212">
        <v>227746900</v>
      </c>
      <c r="AM212">
        <v>6.3E-2</v>
      </c>
    </row>
    <row r="213" spans="1:39" x14ac:dyDescent="0.25">
      <c r="A213">
        <v>0.44516000000004302</v>
      </c>
      <c r="B213">
        <v>275.16608000000002</v>
      </c>
      <c r="C213">
        <v>-1.27254545462067E-2</v>
      </c>
      <c r="D213">
        <v>1.4800000000036499E-2</v>
      </c>
      <c r="E213" s="1">
        <v>45846</v>
      </c>
      <c r="F213">
        <v>227747100</v>
      </c>
      <c r="G213">
        <v>4</v>
      </c>
      <c r="H213">
        <v>9.6293819999999997</v>
      </c>
      <c r="I213">
        <v>49.679419166700001</v>
      </c>
      <c r="J213">
        <v>4.6489999999999997E-2</v>
      </c>
      <c r="K213">
        <v>110.98</v>
      </c>
      <c r="L213">
        <v>-1227.48</v>
      </c>
      <c r="M213">
        <v>120.66</v>
      </c>
      <c r="N213">
        <v>167.1</v>
      </c>
      <c r="O213">
        <v>33700</v>
      </c>
      <c r="P213">
        <v>3.2000000000000001E-2</v>
      </c>
      <c r="Q213">
        <v>0.266429999999999</v>
      </c>
      <c r="R213">
        <v>67.057190000000006</v>
      </c>
      <c r="S213">
        <v>2.5547338673979499E-3</v>
      </c>
      <c r="T213">
        <v>-7.9299999999875494E-3</v>
      </c>
      <c r="U213" s="1">
        <v>45846</v>
      </c>
      <c r="V213">
        <v>227747100</v>
      </c>
      <c r="W213">
        <v>4</v>
      </c>
      <c r="X213">
        <v>9.6297080000000008</v>
      </c>
      <c r="Y213">
        <v>49.679451999999998</v>
      </c>
      <c r="Z213">
        <v>4.6890000000000001E-2</v>
      </c>
      <c r="AA213">
        <v>476.35</v>
      </c>
      <c r="AB213">
        <v>1125.33</v>
      </c>
      <c r="AC213">
        <v>191.98</v>
      </c>
      <c r="AD213">
        <v>166.4</v>
      </c>
      <c r="AE213">
        <v>33630</v>
      </c>
      <c r="AF213">
        <v>7.0000000000000001E-3</v>
      </c>
      <c r="AG213">
        <v>9.6295520000000003</v>
      </c>
      <c r="AH213">
        <v>49.679409166699998</v>
      </c>
      <c r="AI213">
        <v>12</v>
      </c>
      <c r="AJ213">
        <v>0.49</v>
      </c>
      <c r="AK213">
        <v>168.3</v>
      </c>
      <c r="AL213">
        <v>227747100</v>
      </c>
      <c r="AM213">
        <v>3.5000000000000003E-2</v>
      </c>
    </row>
    <row r="214" spans="1:39" x14ac:dyDescent="0.25">
      <c r="A214">
        <v>0.43024000000002599</v>
      </c>
      <c r="B214">
        <v>275.15116</v>
      </c>
      <c r="C214">
        <v>-1.42975757581691E-2</v>
      </c>
      <c r="D214">
        <v>-1.4920000000017799E-2</v>
      </c>
      <c r="E214" s="1">
        <v>45846</v>
      </c>
      <c r="F214">
        <v>227747300</v>
      </c>
      <c r="G214">
        <v>4</v>
      </c>
      <c r="H214">
        <v>9.6293819999999997</v>
      </c>
      <c r="I214">
        <v>49.679419166700001</v>
      </c>
      <c r="J214">
        <v>4.6489999999999997E-2</v>
      </c>
      <c r="K214">
        <v>110.66</v>
      </c>
      <c r="L214">
        <v>-1227.52</v>
      </c>
      <c r="M214">
        <v>119.78</v>
      </c>
      <c r="N214">
        <v>167.1</v>
      </c>
      <c r="O214">
        <v>33700</v>
      </c>
      <c r="P214">
        <v>0.06</v>
      </c>
      <c r="Q214">
        <v>0.26721999999999402</v>
      </c>
      <c r="R214">
        <v>67.057980000000001</v>
      </c>
      <c r="S214">
        <v>-2.28803030309809E-2</v>
      </c>
      <c r="T214">
        <v>7.8999999999496097E-4</v>
      </c>
      <c r="U214" s="1">
        <v>45846</v>
      </c>
      <c r="V214">
        <v>227747300</v>
      </c>
      <c r="W214">
        <v>4</v>
      </c>
      <c r="X214">
        <v>9.6297080000000008</v>
      </c>
      <c r="Y214">
        <v>49.679451999999998</v>
      </c>
      <c r="Z214">
        <v>4.6890000000000001E-2</v>
      </c>
      <c r="AA214">
        <v>476.32</v>
      </c>
      <c r="AB214">
        <v>1125.3</v>
      </c>
      <c r="AC214">
        <v>191.91</v>
      </c>
      <c r="AD214">
        <v>166.4</v>
      </c>
      <c r="AE214">
        <v>33630</v>
      </c>
      <c r="AF214">
        <v>4.4999999999999998E-2</v>
      </c>
      <c r="AG214">
        <v>9.6295521666999999</v>
      </c>
      <c r="AH214">
        <v>49.679409166699998</v>
      </c>
      <c r="AI214">
        <v>12</v>
      </c>
      <c r="AJ214">
        <v>0.49</v>
      </c>
      <c r="AK214">
        <v>168.3</v>
      </c>
      <c r="AL214">
        <v>227747300</v>
      </c>
      <c r="AM214">
        <v>2.5999999999999999E-2</v>
      </c>
    </row>
    <row r="215" spans="1:39" x14ac:dyDescent="0.25">
      <c r="A215">
        <v>0.42670000000003899</v>
      </c>
      <c r="B215">
        <v>275.14762000000002</v>
      </c>
      <c r="C215">
        <v>-1.7352727273949702E-2</v>
      </c>
      <c r="D215">
        <v>-3.5399999999867699E-3</v>
      </c>
      <c r="E215" s="1">
        <v>45846</v>
      </c>
      <c r="F215">
        <v>227747500</v>
      </c>
      <c r="G215">
        <v>4</v>
      </c>
      <c r="H215">
        <v>9.6293819999999997</v>
      </c>
      <c r="I215">
        <v>49.679419166700001</v>
      </c>
      <c r="J215">
        <v>4.6489999999999997E-2</v>
      </c>
      <c r="K215">
        <v>110.58</v>
      </c>
      <c r="L215">
        <v>-1227.56</v>
      </c>
      <c r="M215">
        <v>119.61</v>
      </c>
      <c r="N215">
        <v>167.1</v>
      </c>
      <c r="O215">
        <v>33700</v>
      </c>
      <c r="P215">
        <v>5.2999999999999999E-2</v>
      </c>
      <c r="Q215">
        <v>0.27069999999999</v>
      </c>
      <c r="R215">
        <v>67.061459999999997</v>
      </c>
      <c r="S215">
        <v>-1.8117272728525001E-2</v>
      </c>
      <c r="T215">
        <v>3.4799999999961498E-3</v>
      </c>
      <c r="U215" s="1">
        <v>45846</v>
      </c>
      <c r="V215">
        <v>227747500</v>
      </c>
      <c r="W215">
        <v>4</v>
      </c>
      <c r="X215">
        <v>9.6297080000000008</v>
      </c>
      <c r="Y215">
        <v>49.679451999999998</v>
      </c>
      <c r="Z215">
        <v>4.6890000000000001E-2</v>
      </c>
      <c r="AA215">
        <v>476.21</v>
      </c>
      <c r="AB215">
        <v>1125.24</v>
      </c>
      <c r="AC215">
        <v>191.9</v>
      </c>
      <c r="AD215">
        <v>166.4</v>
      </c>
      <c r="AE215">
        <v>33630</v>
      </c>
      <c r="AF215">
        <v>3.5999999999999997E-2</v>
      </c>
      <c r="AG215">
        <v>9.6295521666999999</v>
      </c>
      <c r="AH215">
        <v>49.679409166699998</v>
      </c>
      <c r="AI215">
        <v>12</v>
      </c>
      <c r="AJ215">
        <v>0.49</v>
      </c>
      <c r="AK215">
        <v>168.3</v>
      </c>
      <c r="AL215">
        <v>227747500</v>
      </c>
      <c r="AM215">
        <v>0.02</v>
      </c>
    </row>
    <row r="216" spans="1:39" x14ac:dyDescent="0.25">
      <c r="A216">
        <v>0.425100000000043</v>
      </c>
      <c r="B216">
        <v>275.14602000000002</v>
      </c>
      <c r="C216">
        <v>-1.6437575756675E-2</v>
      </c>
      <c r="D216">
        <v>-1.59999999999627E-3</v>
      </c>
      <c r="E216" s="1">
        <v>45846</v>
      </c>
      <c r="F216">
        <v>227747700</v>
      </c>
      <c r="G216">
        <v>4</v>
      </c>
      <c r="H216">
        <v>9.6293819999999997</v>
      </c>
      <c r="I216">
        <v>49.679419000000003</v>
      </c>
      <c r="J216">
        <v>4.6489999999999997E-2</v>
      </c>
      <c r="K216">
        <v>110.54</v>
      </c>
      <c r="L216">
        <v>-1227.47</v>
      </c>
      <c r="M216">
        <v>120.22</v>
      </c>
      <c r="N216">
        <v>167.1</v>
      </c>
      <c r="O216">
        <v>33700</v>
      </c>
      <c r="P216">
        <v>2.5000000000000001E-2</v>
      </c>
      <c r="Q216">
        <v>0.26422999999999702</v>
      </c>
      <c r="R216">
        <v>67.054990000000004</v>
      </c>
      <c r="S216">
        <v>-1.6131515150744499E-2</v>
      </c>
      <c r="T216">
        <v>-6.4699999999930898E-3</v>
      </c>
      <c r="U216" s="1">
        <v>45846</v>
      </c>
      <c r="V216">
        <v>227747700</v>
      </c>
      <c r="W216">
        <v>4</v>
      </c>
      <c r="X216">
        <v>9.6297080000000008</v>
      </c>
      <c r="Y216">
        <v>49.679451999999998</v>
      </c>
      <c r="Z216">
        <v>4.6879999999999998E-2</v>
      </c>
      <c r="AA216">
        <v>476.43</v>
      </c>
      <c r="AB216">
        <v>1125.4100000000001</v>
      </c>
      <c r="AC216">
        <v>191.53</v>
      </c>
      <c r="AD216">
        <v>166.4</v>
      </c>
      <c r="AE216">
        <v>33630</v>
      </c>
      <c r="AF216">
        <v>2.3E-2</v>
      </c>
      <c r="AG216">
        <v>9.6295521666999999</v>
      </c>
      <c r="AH216">
        <v>49.679409166699998</v>
      </c>
      <c r="AI216">
        <v>12</v>
      </c>
      <c r="AJ216">
        <v>0.49</v>
      </c>
      <c r="AK216">
        <v>168.3</v>
      </c>
      <c r="AL216">
        <v>227747700</v>
      </c>
      <c r="AM216">
        <v>4.3999999999999997E-2</v>
      </c>
    </row>
    <row r="217" spans="1:39" x14ac:dyDescent="0.25">
      <c r="A217">
        <v>0.42098000000004199</v>
      </c>
      <c r="B217">
        <v>275.14190000000002</v>
      </c>
      <c r="C217">
        <v>-1.6038787878247501E-2</v>
      </c>
      <c r="D217">
        <v>-4.1200000000003404E-3</v>
      </c>
      <c r="E217" s="1">
        <v>45846</v>
      </c>
      <c r="F217">
        <v>227747900</v>
      </c>
      <c r="G217">
        <v>4</v>
      </c>
      <c r="H217">
        <v>9.6293819999999997</v>
      </c>
      <c r="I217">
        <v>49.679419000000003</v>
      </c>
      <c r="J217">
        <v>4.648E-2</v>
      </c>
      <c r="K217">
        <v>110.47</v>
      </c>
      <c r="L217">
        <v>-1227.71</v>
      </c>
      <c r="M217">
        <v>119.94</v>
      </c>
      <c r="N217">
        <v>167.1</v>
      </c>
      <c r="O217">
        <v>33700</v>
      </c>
      <c r="P217">
        <v>1.7000000000000001E-2</v>
      </c>
      <c r="Q217">
        <v>0.26407999999999199</v>
      </c>
      <c r="R217">
        <v>67.054839999999999</v>
      </c>
      <c r="S217">
        <v>-1.38312121208146E-2</v>
      </c>
      <c r="T217">
        <v>-1.50000000004979E-4</v>
      </c>
      <c r="U217" s="1">
        <v>45846</v>
      </c>
      <c r="V217">
        <v>227747900</v>
      </c>
      <c r="W217">
        <v>4</v>
      </c>
      <c r="X217">
        <v>9.6297080000000008</v>
      </c>
      <c r="Y217">
        <v>49.6794518333</v>
      </c>
      <c r="Z217">
        <v>4.6899999999999997E-2</v>
      </c>
      <c r="AA217">
        <v>476.26</v>
      </c>
      <c r="AB217">
        <v>1124.99</v>
      </c>
      <c r="AC217">
        <v>191.85</v>
      </c>
      <c r="AD217">
        <v>166.4</v>
      </c>
      <c r="AE217">
        <v>33630</v>
      </c>
      <c r="AF217">
        <v>3.1E-2</v>
      </c>
      <c r="AG217">
        <v>9.6295521666999999</v>
      </c>
      <c r="AH217">
        <v>49.679409</v>
      </c>
      <c r="AI217">
        <v>12</v>
      </c>
      <c r="AJ217">
        <v>0.49</v>
      </c>
      <c r="AK217">
        <v>168.3</v>
      </c>
      <c r="AL217">
        <v>227747900</v>
      </c>
      <c r="AM217">
        <v>4.5999999999999999E-2</v>
      </c>
    </row>
    <row r="218" spans="1:39" x14ac:dyDescent="0.25">
      <c r="A218">
        <v>0.43192000000004699</v>
      </c>
      <c r="B218">
        <v>275.15284000000003</v>
      </c>
      <c r="C218">
        <v>-9.8218181814037093E-3</v>
      </c>
      <c r="D218">
        <v>1.0940000000005E-2</v>
      </c>
      <c r="E218" s="1">
        <v>45846</v>
      </c>
      <c r="F218">
        <v>227748100</v>
      </c>
      <c r="G218">
        <v>4</v>
      </c>
      <c r="H218">
        <v>9.6293821666999992</v>
      </c>
      <c r="I218">
        <v>49.679419000000003</v>
      </c>
      <c r="J218">
        <v>4.6489999999999997E-2</v>
      </c>
      <c r="K218">
        <v>110.68</v>
      </c>
      <c r="L218">
        <v>-1227.4100000000001</v>
      </c>
      <c r="M218">
        <v>120.38</v>
      </c>
      <c r="N218">
        <v>167.1</v>
      </c>
      <c r="O218">
        <v>33700</v>
      </c>
      <c r="P218">
        <v>6.7000000000000004E-2</v>
      </c>
      <c r="Q218">
        <v>0.27991000000000099</v>
      </c>
      <c r="R218">
        <v>67.070670000000007</v>
      </c>
      <c r="S218">
        <v>-6.14515151529825E-3</v>
      </c>
      <c r="T218">
        <v>1.5830000000008199E-2</v>
      </c>
      <c r="U218" s="1">
        <v>45846</v>
      </c>
      <c r="V218">
        <v>227748100</v>
      </c>
      <c r="W218">
        <v>4</v>
      </c>
      <c r="X218">
        <v>9.6297080000000008</v>
      </c>
      <c r="Y218">
        <v>49.6794518333</v>
      </c>
      <c r="Z218">
        <v>4.6899999999999997E-2</v>
      </c>
      <c r="AA218">
        <v>475.97</v>
      </c>
      <c r="AB218">
        <v>1125.18</v>
      </c>
      <c r="AC218">
        <v>191.77</v>
      </c>
      <c r="AD218">
        <v>166.4</v>
      </c>
      <c r="AE218">
        <v>33630</v>
      </c>
      <c r="AF218">
        <v>1.6E-2</v>
      </c>
      <c r="AG218">
        <v>9.6295521666999999</v>
      </c>
      <c r="AH218">
        <v>49.679409</v>
      </c>
      <c r="AI218">
        <v>12</v>
      </c>
      <c r="AJ218">
        <v>0.49</v>
      </c>
      <c r="AK218">
        <v>168.3</v>
      </c>
      <c r="AL218">
        <v>227748100</v>
      </c>
      <c r="AM218">
        <v>3.5000000000000003E-2</v>
      </c>
    </row>
    <row r="219" spans="1:39" x14ac:dyDescent="0.25">
      <c r="A219">
        <v>0.42876000000001102</v>
      </c>
      <c r="B219">
        <v>275.14967999999999</v>
      </c>
      <c r="C219">
        <v>-7.1224242421652796E-3</v>
      </c>
      <c r="D219">
        <v>-3.1600000000366799E-3</v>
      </c>
      <c r="E219" s="1">
        <v>45846</v>
      </c>
      <c r="F219">
        <v>227748300</v>
      </c>
      <c r="G219">
        <v>4</v>
      </c>
      <c r="H219">
        <v>9.6293821666999992</v>
      </c>
      <c r="I219">
        <v>49.679419000000003</v>
      </c>
      <c r="J219">
        <v>4.6489999999999997E-2</v>
      </c>
      <c r="K219">
        <v>110.63</v>
      </c>
      <c r="L219">
        <v>-1227.52</v>
      </c>
      <c r="M219">
        <v>120.1</v>
      </c>
      <c r="N219">
        <v>167.1</v>
      </c>
      <c r="O219">
        <v>33700</v>
      </c>
      <c r="P219">
        <v>8.9999999999999993E-3</v>
      </c>
      <c r="Q219">
        <v>0.27884999999999099</v>
      </c>
      <c r="R219">
        <v>67.069609999999997</v>
      </c>
      <c r="S219" s="7">
        <v>-4.5757575852969397E-5</v>
      </c>
      <c r="T219">
        <v>-1.0600000000095999E-3</v>
      </c>
      <c r="U219" s="1">
        <v>45846</v>
      </c>
      <c r="V219">
        <v>227748300</v>
      </c>
      <c r="W219">
        <v>4</v>
      </c>
      <c r="X219">
        <v>9.6297081667000004</v>
      </c>
      <c r="Y219">
        <v>49.6794518333</v>
      </c>
      <c r="Z219">
        <v>4.691E-2</v>
      </c>
      <c r="AA219">
        <v>475.91</v>
      </c>
      <c r="AB219">
        <v>1124.98</v>
      </c>
      <c r="AC219">
        <v>191.71</v>
      </c>
      <c r="AD219">
        <v>166.4</v>
      </c>
      <c r="AE219">
        <v>33630</v>
      </c>
      <c r="AF219">
        <v>5.3999999999999999E-2</v>
      </c>
      <c r="AG219">
        <v>9.6295521666999999</v>
      </c>
      <c r="AH219">
        <v>49.679409</v>
      </c>
      <c r="AI219">
        <v>12</v>
      </c>
      <c r="AJ219">
        <v>0.49</v>
      </c>
      <c r="AK219">
        <v>168.3</v>
      </c>
      <c r="AL219">
        <v>227748300</v>
      </c>
      <c r="AM219">
        <v>2.8000000000000001E-2</v>
      </c>
    </row>
    <row r="220" spans="1:39" x14ac:dyDescent="0.25">
      <c r="A220">
        <v>0.43832000000003202</v>
      </c>
      <c r="B220">
        <v>275.15924000000001</v>
      </c>
      <c r="C220">
        <v>-3.3503030302150902E-3</v>
      </c>
      <c r="D220">
        <v>9.5600000000217698E-3</v>
      </c>
      <c r="E220" s="1">
        <v>45846</v>
      </c>
      <c r="F220">
        <v>227748500</v>
      </c>
      <c r="G220">
        <v>4</v>
      </c>
      <c r="H220">
        <v>9.6293821666999992</v>
      </c>
      <c r="I220">
        <v>49.679419000000003</v>
      </c>
      <c r="J220">
        <v>4.6489999999999997E-2</v>
      </c>
      <c r="K220">
        <v>110.83</v>
      </c>
      <c r="L220">
        <v>-1227.48</v>
      </c>
      <c r="M220">
        <v>120.38</v>
      </c>
      <c r="N220">
        <v>167.1</v>
      </c>
      <c r="O220">
        <v>33700</v>
      </c>
      <c r="P220">
        <v>5.0999999999999997E-2</v>
      </c>
      <c r="Q220">
        <v>0.28226999999999602</v>
      </c>
      <c r="R220">
        <v>67.073030000000003</v>
      </c>
      <c r="S220">
        <v>3.72151515218523E-3</v>
      </c>
      <c r="T220">
        <v>3.4200000000055302E-3</v>
      </c>
      <c r="U220" s="1">
        <v>45846</v>
      </c>
      <c r="V220">
        <v>227748500</v>
      </c>
      <c r="W220">
        <v>4</v>
      </c>
      <c r="X220">
        <v>9.6297081667000004</v>
      </c>
      <c r="Y220">
        <v>49.6794518333</v>
      </c>
      <c r="Z220">
        <v>4.6890000000000001E-2</v>
      </c>
      <c r="AA220">
        <v>476.01</v>
      </c>
      <c r="AB220">
        <v>1125.3800000000001</v>
      </c>
      <c r="AC220">
        <v>191.89</v>
      </c>
      <c r="AD220">
        <v>166.4</v>
      </c>
      <c r="AE220">
        <v>33630</v>
      </c>
      <c r="AF220">
        <v>0.01</v>
      </c>
      <c r="AG220">
        <v>9.6295523332999995</v>
      </c>
      <c r="AH220">
        <v>49.679409</v>
      </c>
      <c r="AI220">
        <v>12</v>
      </c>
      <c r="AJ220">
        <v>0.49</v>
      </c>
      <c r="AK220">
        <v>168.3</v>
      </c>
      <c r="AL220">
        <v>227748500</v>
      </c>
      <c r="AM220">
        <v>2.5999999999999999E-2</v>
      </c>
    </row>
    <row r="221" spans="1:39" x14ac:dyDescent="0.25">
      <c r="A221">
        <v>0.44344000000000899</v>
      </c>
      <c r="B221">
        <v>275.16435999999999</v>
      </c>
      <c r="C221">
        <v>2.2418181821962698E-3</v>
      </c>
      <c r="D221">
        <v>5.1199999999766901E-3</v>
      </c>
      <c r="E221" s="1">
        <v>45846</v>
      </c>
      <c r="F221">
        <v>227748700</v>
      </c>
      <c r="G221">
        <v>4</v>
      </c>
      <c r="H221">
        <v>9.6293821666999992</v>
      </c>
      <c r="I221">
        <v>49.679419000000003</v>
      </c>
      <c r="J221">
        <v>4.6489999999999997E-2</v>
      </c>
      <c r="K221">
        <v>110.94</v>
      </c>
      <c r="L221">
        <v>-1227.49</v>
      </c>
      <c r="M221">
        <v>120.37</v>
      </c>
      <c r="N221">
        <v>167.1</v>
      </c>
      <c r="O221">
        <v>33700</v>
      </c>
      <c r="P221">
        <v>0.03</v>
      </c>
      <c r="Q221">
        <v>0.291409999999999</v>
      </c>
      <c r="R221">
        <v>67.082170000000005</v>
      </c>
      <c r="S221">
        <v>1.0604848487116699E-2</v>
      </c>
      <c r="T221">
        <v>9.1400000000021395E-3</v>
      </c>
      <c r="U221" s="1">
        <v>45846</v>
      </c>
      <c r="V221">
        <v>227748700</v>
      </c>
      <c r="W221">
        <v>4</v>
      </c>
      <c r="X221">
        <v>9.6297081667000004</v>
      </c>
      <c r="Y221">
        <v>49.6794518333</v>
      </c>
      <c r="Z221">
        <v>4.6890000000000001E-2</v>
      </c>
      <c r="AA221">
        <v>475.85</v>
      </c>
      <c r="AB221">
        <v>1125.52</v>
      </c>
      <c r="AC221">
        <v>191.74</v>
      </c>
      <c r="AD221">
        <v>166.4</v>
      </c>
      <c r="AE221">
        <v>33630</v>
      </c>
      <c r="AF221">
        <v>2.5999999999999999E-2</v>
      </c>
      <c r="AG221">
        <v>9.6295523332999995</v>
      </c>
      <c r="AH221">
        <v>49.679409</v>
      </c>
      <c r="AI221">
        <v>12</v>
      </c>
      <c r="AJ221">
        <v>0.49</v>
      </c>
      <c r="AK221">
        <v>168.3</v>
      </c>
      <c r="AL221">
        <v>227748700</v>
      </c>
      <c r="AM221">
        <v>2.9000000000000001E-2</v>
      </c>
    </row>
    <row r="222" spans="1:39" x14ac:dyDescent="0.25">
      <c r="A222">
        <v>0.45026000000001398</v>
      </c>
      <c r="B222">
        <v>275.17117999999999</v>
      </c>
      <c r="C222">
        <v>6.61575757629155E-3</v>
      </c>
      <c r="D222">
        <v>6.8200000000047103E-3</v>
      </c>
      <c r="E222" s="1">
        <v>45846</v>
      </c>
      <c r="F222">
        <v>227748900</v>
      </c>
      <c r="G222">
        <v>4</v>
      </c>
      <c r="H222">
        <v>9.6293821666999992</v>
      </c>
      <c r="I222">
        <v>49.679419000000003</v>
      </c>
      <c r="J222">
        <v>4.6489999999999997E-2</v>
      </c>
      <c r="K222">
        <v>111.08</v>
      </c>
      <c r="L222">
        <v>-1227.3900000000001</v>
      </c>
      <c r="M222">
        <v>120.49</v>
      </c>
      <c r="N222">
        <v>167.1</v>
      </c>
      <c r="O222">
        <v>33700</v>
      </c>
      <c r="P222">
        <v>3.6999999999999998E-2</v>
      </c>
      <c r="Q222">
        <v>0.24767999999998799</v>
      </c>
      <c r="R222">
        <v>67.038439999999994</v>
      </c>
      <c r="S222">
        <v>3.5793939394720199E-3</v>
      </c>
      <c r="T222">
        <v>-4.3730000000010698E-2</v>
      </c>
      <c r="U222" s="1">
        <v>45846</v>
      </c>
      <c r="V222">
        <v>227748900</v>
      </c>
      <c r="W222">
        <v>4</v>
      </c>
      <c r="X222">
        <v>9.6297081667000004</v>
      </c>
      <c r="Y222">
        <v>49.6794518333</v>
      </c>
      <c r="Z222">
        <v>4.6879999999999998E-2</v>
      </c>
      <c r="AA222">
        <v>476.8</v>
      </c>
      <c r="AB222">
        <v>1125.3800000000001</v>
      </c>
      <c r="AC222">
        <v>192.16</v>
      </c>
      <c r="AD222">
        <v>166.3</v>
      </c>
      <c r="AE222">
        <v>33620</v>
      </c>
      <c r="AF222">
        <v>4.2000000000000003E-2</v>
      </c>
      <c r="AG222">
        <v>9.6295523332999995</v>
      </c>
      <c r="AH222">
        <v>49.679409</v>
      </c>
      <c r="AI222">
        <v>12</v>
      </c>
      <c r="AJ222">
        <v>0.49</v>
      </c>
      <c r="AK222">
        <v>168.3</v>
      </c>
      <c r="AL222">
        <v>227748900</v>
      </c>
      <c r="AM222">
        <v>2.1999999999999999E-2</v>
      </c>
    </row>
    <row r="223" spans="1:39" x14ac:dyDescent="0.25">
      <c r="A223">
        <v>0.453100000000006</v>
      </c>
      <c r="B223">
        <v>275.17401999999998</v>
      </c>
      <c r="C223">
        <v>1.54915151512563E-2</v>
      </c>
      <c r="D223">
        <v>2.8399999999919601E-3</v>
      </c>
      <c r="E223" s="1">
        <v>45846</v>
      </c>
      <c r="F223">
        <v>227749100</v>
      </c>
      <c r="G223">
        <v>4</v>
      </c>
      <c r="H223">
        <v>9.6293821666999992</v>
      </c>
      <c r="I223">
        <v>49.679419000000003</v>
      </c>
      <c r="J223">
        <v>4.6489999999999997E-2</v>
      </c>
      <c r="K223">
        <v>111.14</v>
      </c>
      <c r="L223">
        <v>-1227.3699999999999</v>
      </c>
      <c r="M223">
        <v>120.68</v>
      </c>
      <c r="N223">
        <v>167.1</v>
      </c>
      <c r="O223">
        <v>33700</v>
      </c>
      <c r="P223">
        <v>4.5999999999999999E-2</v>
      </c>
      <c r="Q223">
        <v>0.24064999999998801</v>
      </c>
      <c r="R223">
        <v>67.031409999999994</v>
      </c>
      <c r="S223">
        <v>-6.3896969695938898E-3</v>
      </c>
      <c r="T223">
        <v>-7.0300000000003103E-3</v>
      </c>
      <c r="U223" s="1">
        <v>45846</v>
      </c>
      <c r="V223">
        <v>227749100</v>
      </c>
      <c r="W223">
        <v>4</v>
      </c>
      <c r="X223">
        <v>9.6297081667000004</v>
      </c>
      <c r="Y223">
        <v>49.6794518333</v>
      </c>
      <c r="Z223">
        <v>4.6879999999999998E-2</v>
      </c>
      <c r="AA223">
        <v>476.97</v>
      </c>
      <c r="AB223">
        <v>1125.4000000000001</v>
      </c>
      <c r="AC223">
        <v>192.4</v>
      </c>
      <c r="AD223">
        <v>166.3</v>
      </c>
      <c r="AE223">
        <v>33620</v>
      </c>
      <c r="AF223">
        <v>5.8000000000000003E-2</v>
      </c>
      <c r="AG223">
        <v>9.6295523332999995</v>
      </c>
      <c r="AH223">
        <v>49.679408833300002</v>
      </c>
      <c r="AI223">
        <v>12</v>
      </c>
      <c r="AJ223">
        <v>0.49</v>
      </c>
      <c r="AK223">
        <v>168.3</v>
      </c>
      <c r="AL223">
        <v>227749100</v>
      </c>
      <c r="AM223">
        <v>2.7E-2</v>
      </c>
    </row>
    <row r="224" spans="1:39" x14ac:dyDescent="0.25">
      <c r="A224">
        <v>0.46102000000001903</v>
      </c>
      <c r="B224">
        <v>275.18194</v>
      </c>
      <c r="C224">
        <v>2.10727272746686E-2</v>
      </c>
      <c r="D224">
        <v>7.9200000000128005E-3</v>
      </c>
      <c r="E224" s="1">
        <v>45846</v>
      </c>
      <c r="F224">
        <v>227749300</v>
      </c>
      <c r="G224">
        <v>4</v>
      </c>
      <c r="H224">
        <v>9.6293821666999992</v>
      </c>
      <c r="I224">
        <v>49.679419000000003</v>
      </c>
      <c r="J224">
        <v>4.6489999999999997E-2</v>
      </c>
      <c r="K224">
        <v>111.32</v>
      </c>
      <c r="L224">
        <v>-1227.49</v>
      </c>
      <c r="M224">
        <v>120.35</v>
      </c>
      <c r="N224">
        <v>167.1</v>
      </c>
      <c r="O224">
        <v>33700</v>
      </c>
      <c r="P224">
        <v>2.1000000000000001E-2</v>
      </c>
      <c r="Q224">
        <v>0.23908999999999</v>
      </c>
      <c r="R224">
        <v>67.029849999999996</v>
      </c>
      <c r="S224">
        <v>-1.49584848500836E-2</v>
      </c>
      <c r="T224">
        <v>-1.55999999999778E-3</v>
      </c>
      <c r="U224" s="1">
        <v>45846</v>
      </c>
      <c r="V224">
        <v>227749300</v>
      </c>
      <c r="W224">
        <v>4</v>
      </c>
      <c r="X224">
        <v>9.6297081667000004</v>
      </c>
      <c r="Y224">
        <v>49.6794518333</v>
      </c>
      <c r="Z224">
        <v>4.6879999999999998E-2</v>
      </c>
      <c r="AA224">
        <v>476.97</v>
      </c>
      <c r="AB224">
        <v>1125.29</v>
      </c>
      <c r="AC224">
        <v>192.26</v>
      </c>
      <c r="AD224">
        <v>166.3</v>
      </c>
      <c r="AE224">
        <v>33620</v>
      </c>
      <c r="AF224">
        <v>1.7999999999999999E-2</v>
      </c>
      <c r="AG224">
        <v>9.6295523332999995</v>
      </c>
      <c r="AH224">
        <v>49.679408833300002</v>
      </c>
      <c r="AI224">
        <v>12</v>
      </c>
      <c r="AJ224">
        <v>0.49</v>
      </c>
      <c r="AK224">
        <v>168.3</v>
      </c>
      <c r="AL224">
        <v>227749300</v>
      </c>
      <c r="AM224">
        <v>3.4000000000000002E-2</v>
      </c>
    </row>
    <row r="225" spans="1:39" x14ac:dyDescent="0.25">
      <c r="A225">
        <v>0.45812000000000802</v>
      </c>
      <c r="B225">
        <v>275.17903999999999</v>
      </c>
      <c r="C225">
        <v>2.2817575760572001E-2</v>
      </c>
      <c r="D225">
        <v>-2.9000000000110001E-3</v>
      </c>
      <c r="E225" s="1">
        <v>45846</v>
      </c>
      <c r="F225">
        <v>227749500</v>
      </c>
      <c r="G225">
        <v>4</v>
      </c>
      <c r="H225">
        <v>9.6293821666999992</v>
      </c>
      <c r="I225">
        <v>49.679418833299998</v>
      </c>
      <c r="J225">
        <v>4.6489999999999997E-2</v>
      </c>
      <c r="K225">
        <v>111.25</v>
      </c>
      <c r="L225">
        <v>-1227.4100000000001</v>
      </c>
      <c r="M225">
        <v>120.92</v>
      </c>
      <c r="N225">
        <v>167</v>
      </c>
      <c r="O225">
        <v>33690</v>
      </c>
      <c r="P225">
        <v>2.3E-2</v>
      </c>
      <c r="Q225">
        <v>0.27684999999999599</v>
      </c>
      <c r="R225">
        <v>67.067610000000002</v>
      </c>
      <c r="S225">
        <v>-1.0364242426561299E-2</v>
      </c>
      <c r="T225">
        <v>3.7760000000005699E-2</v>
      </c>
      <c r="U225" s="1">
        <v>45846</v>
      </c>
      <c r="V225">
        <v>227749500</v>
      </c>
      <c r="W225">
        <v>4</v>
      </c>
      <c r="X225">
        <v>9.6297081667000004</v>
      </c>
      <c r="Y225">
        <v>49.679451666699997</v>
      </c>
      <c r="Z225">
        <v>4.6899999999999997E-2</v>
      </c>
      <c r="AA225">
        <v>476.05</v>
      </c>
      <c r="AB225">
        <v>1125.19</v>
      </c>
      <c r="AC225">
        <v>191.81</v>
      </c>
      <c r="AD225">
        <v>166.3</v>
      </c>
      <c r="AE225">
        <v>33620</v>
      </c>
      <c r="AF225">
        <v>3.2000000000000001E-2</v>
      </c>
      <c r="AG225">
        <v>9.6295523332999995</v>
      </c>
      <c r="AH225">
        <v>49.679408833300002</v>
      </c>
      <c r="AI225">
        <v>12</v>
      </c>
      <c r="AJ225">
        <v>0.49</v>
      </c>
      <c r="AK225">
        <v>168.3</v>
      </c>
      <c r="AL225">
        <v>227749500</v>
      </c>
      <c r="AM225">
        <v>7.0999999999999994E-2</v>
      </c>
    </row>
    <row r="226" spans="1:39" x14ac:dyDescent="0.25">
      <c r="A226">
        <v>0.44620000000003301</v>
      </c>
      <c r="B226">
        <v>275.16712000000001</v>
      </c>
      <c r="C226">
        <v>1.8873939394432399E-2</v>
      </c>
      <c r="D226">
        <v>-1.1919999999974999E-2</v>
      </c>
      <c r="E226" s="1">
        <v>45846</v>
      </c>
      <c r="F226">
        <v>227749700</v>
      </c>
      <c r="G226">
        <v>4</v>
      </c>
      <c r="H226">
        <v>9.6293823333000006</v>
      </c>
      <c r="I226">
        <v>49.679418833299998</v>
      </c>
      <c r="J226">
        <v>4.6489999999999997E-2</v>
      </c>
      <c r="K226">
        <v>110.99</v>
      </c>
      <c r="L226">
        <v>-1227.3900000000001</v>
      </c>
      <c r="M226">
        <v>120.7</v>
      </c>
      <c r="N226">
        <v>167</v>
      </c>
      <c r="O226">
        <v>33690</v>
      </c>
      <c r="P226">
        <v>1.0999999999999999E-2</v>
      </c>
      <c r="Q226">
        <v>0.24290999999999399</v>
      </c>
      <c r="R226">
        <v>67.033670000000001</v>
      </c>
      <c r="S226">
        <v>-1.7555757577188899E-2</v>
      </c>
      <c r="T226">
        <v>-3.3940000000001101E-2</v>
      </c>
      <c r="U226" s="1">
        <v>45846</v>
      </c>
      <c r="V226">
        <v>227749700</v>
      </c>
      <c r="W226">
        <v>4</v>
      </c>
      <c r="X226">
        <v>9.6297083333</v>
      </c>
      <c r="Y226">
        <v>49.6794518333</v>
      </c>
      <c r="Z226">
        <v>4.6879999999999998E-2</v>
      </c>
      <c r="AA226">
        <v>476.9</v>
      </c>
      <c r="AB226">
        <v>1125.3499999999999</v>
      </c>
      <c r="AC226">
        <v>192.5</v>
      </c>
      <c r="AD226">
        <v>166.3</v>
      </c>
      <c r="AE226">
        <v>33620</v>
      </c>
      <c r="AF226">
        <v>1.4E-2</v>
      </c>
      <c r="AG226">
        <v>9.6295523332999995</v>
      </c>
      <c r="AH226">
        <v>49.679408833300002</v>
      </c>
      <c r="AI226">
        <v>12</v>
      </c>
      <c r="AJ226">
        <v>0.49</v>
      </c>
      <c r="AK226">
        <v>168.3</v>
      </c>
      <c r="AL226">
        <v>227749700</v>
      </c>
      <c r="AM226">
        <v>2.7E-2</v>
      </c>
    </row>
    <row r="227" spans="1:39" x14ac:dyDescent="0.25">
      <c r="A227">
        <v>0.45168000000001002</v>
      </c>
      <c r="B227">
        <v>275.17259999999999</v>
      </c>
      <c r="C227">
        <v>1.37727272732496E-2</v>
      </c>
      <c r="D227">
        <v>5.47999999997728E-3</v>
      </c>
      <c r="E227" s="1">
        <v>45846</v>
      </c>
      <c r="F227">
        <v>227749900</v>
      </c>
      <c r="G227">
        <v>4</v>
      </c>
      <c r="H227">
        <v>9.6293823333000006</v>
      </c>
      <c r="I227">
        <v>49.679418833299998</v>
      </c>
      <c r="J227">
        <v>4.6489999999999997E-2</v>
      </c>
      <c r="K227">
        <v>111.11</v>
      </c>
      <c r="L227">
        <v>-1227.42</v>
      </c>
      <c r="M227">
        <v>120.47</v>
      </c>
      <c r="N227">
        <v>167</v>
      </c>
      <c r="O227">
        <v>33690</v>
      </c>
      <c r="P227">
        <v>1.6E-2</v>
      </c>
      <c r="Q227">
        <v>0.25979999999999798</v>
      </c>
      <c r="R227">
        <v>67.050560000000004</v>
      </c>
      <c r="S227">
        <v>-1.8898787879453899E-2</v>
      </c>
      <c r="T227">
        <v>1.68900000000036E-2</v>
      </c>
      <c r="U227" s="1">
        <v>45846</v>
      </c>
      <c r="V227">
        <v>227749900</v>
      </c>
      <c r="W227">
        <v>4</v>
      </c>
      <c r="X227">
        <v>9.6297083333</v>
      </c>
      <c r="Y227">
        <v>49.679451666699997</v>
      </c>
      <c r="Z227">
        <v>4.6870000000000002E-2</v>
      </c>
      <c r="AA227">
        <v>476.63</v>
      </c>
      <c r="AB227">
        <v>1125.6400000000001</v>
      </c>
      <c r="AC227">
        <v>191.97</v>
      </c>
      <c r="AD227">
        <v>166.3</v>
      </c>
      <c r="AE227">
        <v>33620</v>
      </c>
      <c r="AF227">
        <v>4.8000000000000001E-2</v>
      </c>
      <c r="AG227">
        <v>9.6295523332999995</v>
      </c>
      <c r="AH227">
        <v>49.679408833300002</v>
      </c>
      <c r="AI227">
        <v>12</v>
      </c>
      <c r="AJ227">
        <v>0.49</v>
      </c>
      <c r="AK227">
        <v>168.3</v>
      </c>
      <c r="AL227">
        <v>227749900</v>
      </c>
      <c r="AM227">
        <v>5.8000000000000003E-2</v>
      </c>
    </row>
    <row r="228" spans="1:39" x14ac:dyDescent="0.25">
      <c r="A228">
        <v>0.44204000000001997</v>
      </c>
      <c r="B228">
        <v>275.16296</v>
      </c>
      <c r="C228">
        <v>7.8284848485507402E-3</v>
      </c>
      <c r="D228">
        <v>-9.6399999999903195E-3</v>
      </c>
      <c r="E228" s="1">
        <v>45846</v>
      </c>
      <c r="F228">
        <v>227750100</v>
      </c>
      <c r="G228">
        <v>4</v>
      </c>
      <c r="H228">
        <v>9.6293823333000006</v>
      </c>
      <c r="I228">
        <v>49.679418666700002</v>
      </c>
      <c r="J228">
        <v>4.6489999999999997E-2</v>
      </c>
      <c r="K228">
        <v>110.91</v>
      </c>
      <c r="L228">
        <v>-1227.49</v>
      </c>
      <c r="M228">
        <v>120.83</v>
      </c>
      <c r="N228">
        <v>167</v>
      </c>
      <c r="O228">
        <v>33690</v>
      </c>
      <c r="P228">
        <v>0.01</v>
      </c>
      <c r="Q228">
        <v>0.30670999999999499</v>
      </c>
      <c r="R228">
        <v>67.097470000000001</v>
      </c>
      <c r="S228">
        <v>-1.91212121241012E-3</v>
      </c>
      <c r="T228">
        <v>4.6909999999996899E-2</v>
      </c>
      <c r="U228" s="1">
        <v>45846</v>
      </c>
      <c r="V228">
        <v>227750100</v>
      </c>
      <c r="W228">
        <v>4</v>
      </c>
      <c r="X228">
        <v>9.6297083333</v>
      </c>
      <c r="Y228">
        <v>49.679451499999999</v>
      </c>
      <c r="Z228">
        <v>4.6890000000000001E-2</v>
      </c>
      <c r="AA228">
        <v>475.49</v>
      </c>
      <c r="AB228">
        <v>1125.51</v>
      </c>
      <c r="AC228">
        <v>192.1</v>
      </c>
      <c r="AD228">
        <v>166.3</v>
      </c>
      <c r="AE228">
        <v>33620</v>
      </c>
      <c r="AF228">
        <v>1.2999999999999999E-2</v>
      </c>
      <c r="AG228">
        <v>9.6295523332999995</v>
      </c>
      <c r="AH228">
        <v>49.679408666699999</v>
      </c>
      <c r="AI228">
        <v>12</v>
      </c>
      <c r="AJ228">
        <v>0.49</v>
      </c>
      <c r="AK228">
        <v>168.3</v>
      </c>
      <c r="AL228">
        <v>227750100</v>
      </c>
      <c r="AM228">
        <v>2.1999999999999999E-2</v>
      </c>
    </row>
    <row r="229" spans="1:39" x14ac:dyDescent="0.25">
      <c r="A229">
        <v>0.43900000000002098</v>
      </c>
      <c r="B229">
        <v>275.15992</v>
      </c>
      <c r="C229">
        <v>-6.11515152544975E-4</v>
      </c>
      <c r="D229">
        <v>-3.0399999999985898E-3</v>
      </c>
      <c r="E229" s="1">
        <v>45846</v>
      </c>
      <c r="F229">
        <v>227750300</v>
      </c>
      <c r="G229">
        <v>4</v>
      </c>
      <c r="H229">
        <v>9.6293823333000006</v>
      </c>
      <c r="I229">
        <v>49.679418666700002</v>
      </c>
      <c r="J229">
        <v>4.6489999999999997E-2</v>
      </c>
      <c r="K229">
        <v>110.85</v>
      </c>
      <c r="L229">
        <v>-1227.51</v>
      </c>
      <c r="M229">
        <v>120.7</v>
      </c>
      <c r="N229">
        <v>167</v>
      </c>
      <c r="O229">
        <v>33679.999999999898</v>
      </c>
      <c r="P229">
        <v>0.03</v>
      </c>
      <c r="Q229">
        <v>0.29630999999999103</v>
      </c>
      <c r="R229">
        <v>67.087069999999997</v>
      </c>
      <c r="S229">
        <v>1.0260606063905799E-2</v>
      </c>
      <c r="T229">
        <v>-1.04000000000041E-2</v>
      </c>
      <c r="U229" s="1">
        <v>45846</v>
      </c>
      <c r="V229">
        <v>227750300</v>
      </c>
      <c r="W229">
        <v>4</v>
      </c>
      <c r="X229">
        <v>9.6297083333</v>
      </c>
      <c r="Y229">
        <v>49.679451499999999</v>
      </c>
      <c r="Z229">
        <v>4.6890000000000001E-2</v>
      </c>
      <c r="AA229">
        <v>475.71</v>
      </c>
      <c r="AB229">
        <v>1125.46</v>
      </c>
      <c r="AC229">
        <v>191.87</v>
      </c>
      <c r="AD229">
        <v>166.3</v>
      </c>
      <c r="AE229">
        <v>33610</v>
      </c>
      <c r="AF229">
        <v>1.9E-2</v>
      </c>
      <c r="AG229">
        <v>9.6295523332999995</v>
      </c>
      <c r="AH229">
        <v>49.679408666699999</v>
      </c>
      <c r="AI229">
        <v>12</v>
      </c>
      <c r="AJ229">
        <v>0.49</v>
      </c>
      <c r="AK229">
        <v>168.2</v>
      </c>
      <c r="AL229">
        <v>227750300</v>
      </c>
      <c r="AM229">
        <v>3.4000000000000002E-2</v>
      </c>
    </row>
    <row r="230" spans="1:39" x14ac:dyDescent="0.25">
      <c r="A230">
        <v>0.44436000000001702</v>
      </c>
      <c r="B230">
        <v>275.16528</v>
      </c>
      <c r="C230">
        <v>-5.0236363650295497E-3</v>
      </c>
      <c r="D230">
        <v>5.3599999999960303E-3</v>
      </c>
      <c r="E230" s="1">
        <v>45846</v>
      </c>
      <c r="F230">
        <v>227750500</v>
      </c>
      <c r="G230">
        <v>4</v>
      </c>
      <c r="H230">
        <v>9.6293823333000006</v>
      </c>
      <c r="I230">
        <v>49.679418666700002</v>
      </c>
      <c r="J230">
        <v>4.6489999999999997E-2</v>
      </c>
      <c r="K230">
        <v>110.94</v>
      </c>
      <c r="L230">
        <v>-1227.3</v>
      </c>
      <c r="M230">
        <v>120.66</v>
      </c>
      <c r="N230">
        <v>167</v>
      </c>
      <c r="O230">
        <v>33679.999999999898</v>
      </c>
      <c r="P230">
        <v>0.05</v>
      </c>
      <c r="Q230">
        <v>0.28754999999999598</v>
      </c>
      <c r="R230">
        <v>67.078310000000002</v>
      </c>
      <c r="S230">
        <v>2.0126060611148699E-2</v>
      </c>
      <c r="T230">
        <v>-8.7599999999952109E-3</v>
      </c>
      <c r="U230" s="1">
        <v>45846</v>
      </c>
      <c r="V230">
        <v>227750500</v>
      </c>
      <c r="W230">
        <v>4</v>
      </c>
      <c r="X230">
        <v>9.6297083333</v>
      </c>
      <c r="Y230">
        <v>49.679451499999999</v>
      </c>
      <c r="Z230">
        <v>4.6879999999999998E-2</v>
      </c>
      <c r="AA230">
        <v>475.96</v>
      </c>
      <c r="AB230">
        <v>1125.57</v>
      </c>
      <c r="AC230">
        <v>192.02</v>
      </c>
      <c r="AD230">
        <v>166.3</v>
      </c>
      <c r="AE230">
        <v>33610</v>
      </c>
      <c r="AF230">
        <v>2.4E-2</v>
      </c>
      <c r="AG230">
        <v>9.6295523332999995</v>
      </c>
      <c r="AH230">
        <v>49.679408666699999</v>
      </c>
      <c r="AI230">
        <v>12</v>
      </c>
      <c r="AJ230">
        <v>0.49</v>
      </c>
      <c r="AK230">
        <v>168.2</v>
      </c>
      <c r="AL230">
        <v>227750500</v>
      </c>
      <c r="AM230">
        <v>1.9E-2</v>
      </c>
    </row>
    <row r="231" spans="1:39" x14ac:dyDescent="0.25">
      <c r="A231">
        <v>0.43590000000000301</v>
      </c>
      <c r="B231">
        <v>275.15681999999998</v>
      </c>
      <c r="C231">
        <v>-1.0402424243160799E-2</v>
      </c>
      <c r="D231">
        <v>-8.4600000000136701E-3</v>
      </c>
      <c r="E231" s="1">
        <v>45846</v>
      </c>
      <c r="F231">
        <v>227750700</v>
      </c>
      <c r="G231">
        <v>4</v>
      </c>
      <c r="H231">
        <v>9.6293823333000006</v>
      </c>
      <c r="I231">
        <v>49.679418666700002</v>
      </c>
      <c r="J231">
        <v>4.6489999999999997E-2</v>
      </c>
      <c r="K231">
        <v>110.77</v>
      </c>
      <c r="L231">
        <v>-1227.4000000000001</v>
      </c>
      <c r="M231">
        <v>120.49</v>
      </c>
      <c r="N231">
        <v>167</v>
      </c>
      <c r="O231">
        <v>33679.999999999898</v>
      </c>
      <c r="P231">
        <v>6.3E-2</v>
      </c>
      <c r="Q231">
        <v>0.25041999999999098</v>
      </c>
      <c r="R231">
        <v>67.041179999999997</v>
      </c>
      <c r="S231">
        <v>2.2591818182794099E-2</v>
      </c>
      <c r="T231">
        <v>-3.7130000000004701E-2</v>
      </c>
      <c r="U231" s="1">
        <v>45846</v>
      </c>
      <c r="V231">
        <v>227750700</v>
      </c>
      <c r="W231">
        <v>4</v>
      </c>
      <c r="X231">
        <v>9.6297083333</v>
      </c>
      <c r="Y231">
        <v>49.679451666699997</v>
      </c>
      <c r="Z231">
        <v>4.6870000000000002E-2</v>
      </c>
      <c r="AA231">
        <v>476.83</v>
      </c>
      <c r="AB231">
        <v>1125.5899999999999</v>
      </c>
      <c r="AC231">
        <v>192.14</v>
      </c>
      <c r="AD231">
        <v>166.3</v>
      </c>
      <c r="AE231">
        <v>33610</v>
      </c>
      <c r="AF231">
        <v>0.03</v>
      </c>
      <c r="AG231">
        <v>9.6295523332999995</v>
      </c>
      <c r="AH231">
        <v>49.679408500000001</v>
      </c>
      <c r="AI231">
        <v>12</v>
      </c>
      <c r="AJ231">
        <v>0.49</v>
      </c>
      <c r="AK231">
        <v>168.2</v>
      </c>
      <c r="AL231">
        <v>227750700</v>
      </c>
      <c r="AM231">
        <v>2.5000000000000001E-2</v>
      </c>
    </row>
    <row r="232" spans="1:39" x14ac:dyDescent="0.25">
      <c r="A232">
        <v>0.43780000000003799</v>
      </c>
      <c r="B232">
        <v>275.15872000000002</v>
      </c>
      <c r="C232">
        <v>-1.25327272731845E-2</v>
      </c>
      <c r="D232">
        <v>1.90000000003465E-3</v>
      </c>
      <c r="E232" s="1">
        <v>45846</v>
      </c>
      <c r="F232">
        <v>227750900</v>
      </c>
      <c r="G232">
        <v>4</v>
      </c>
      <c r="H232">
        <v>9.6293823333000006</v>
      </c>
      <c r="I232">
        <v>49.679418499999997</v>
      </c>
      <c r="J232">
        <v>4.6489999999999997E-2</v>
      </c>
      <c r="K232">
        <v>110.82</v>
      </c>
      <c r="L232">
        <v>-1227.5</v>
      </c>
      <c r="M232">
        <v>120.57</v>
      </c>
      <c r="N232">
        <v>167</v>
      </c>
      <c r="O232">
        <v>33679.999999999898</v>
      </c>
      <c r="P232">
        <v>6.2E-2</v>
      </c>
      <c r="Q232">
        <v>0.277529999999998</v>
      </c>
      <c r="R232">
        <v>67.068290000000005</v>
      </c>
      <c r="S232">
        <v>2.0358787878599498E-2</v>
      </c>
      <c r="T232">
        <v>2.71100000000075E-2</v>
      </c>
      <c r="U232" s="1">
        <v>45846</v>
      </c>
      <c r="V232">
        <v>227750900</v>
      </c>
      <c r="W232">
        <v>4</v>
      </c>
      <c r="X232">
        <v>9.6297083333</v>
      </c>
      <c r="Y232">
        <v>49.679451333300001</v>
      </c>
      <c r="Z232">
        <v>4.6890000000000001E-2</v>
      </c>
      <c r="AA232">
        <v>476.1</v>
      </c>
      <c r="AB232">
        <v>1125.3499999999999</v>
      </c>
      <c r="AC232">
        <v>192.26</v>
      </c>
      <c r="AD232">
        <v>166.3</v>
      </c>
      <c r="AE232">
        <v>33610</v>
      </c>
      <c r="AF232">
        <v>0.01</v>
      </c>
      <c r="AG232">
        <v>9.6295525000000008</v>
      </c>
      <c r="AH232">
        <v>49.679408500000001</v>
      </c>
      <c r="AI232">
        <v>12</v>
      </c>
      <c r="AJ232">
        <v>0.49</v>
      </c>
      <c r="AK232">
        <v>168.2</v>
      </c>
      <c r="AL232">
        <v>227750900</v>
      </c>
      <c r="AM232">
        <v>3.9E-2</v>
      </c>
    </row>
    <row r="233" spans="1:39" x14ac:dyDescent="0.25">
      <c r="A233">
        <v>0.43634000000002898</v>
      </c>
      <c r="B233">
        <v>275.15726000000001</v>
      </c>
      <c r="C233">
        <v>-1.3359393939126401E-2</v>
      </c>
      <c r="D233">
        <v>-1.4600000000086701E-3</v>
      </c>
      <c r="E233" s="1">
        <v>45846</v>
      </c>
      <c r="F233">
        <v>227751100</v>
      </c>
      <c r="G233">
        <v>4</v>
      </c>
      <c r="H233">
        <v>9.6293823333000006</v>
      </c>
      <c r="I233">
        <v>49.679418499999997</v>
      </c>
      <c r="J233">
        <v>4.6489999999999997E-2</v>
      </c>
      <c r="K233">
        <v>110.77</v>
      </c>
      <c r="L233">
        <v>-1227.32</v>
      </c>
      <c r="M233">
        <v>120.29</v>
      </c>
      <c r="N233">
        <v>167</v>
      </c>
      <c r="O233">
        <v>33679.999999999898</v>
      </c>
      <c r="P233">
        <v>3.7999999999999999E-2</v>
      </c>
      <c r="Q233">
        <v>0.23903999999998801</v>
      </c>
      <c r="R233">
        <v>67.029799999999994</v>
      </c>
      <c r="S233">
        <v>3.4760606067023099E-3</v>
      </c>
      <c r="T233">
        <v>-3.8490000000010099E-2</v>
      </c>
      <c r="U233" s="1">
        <v>45846</v>
      </c>
      <c r="V233">
        <v>227751100</v>
      </c>
      <c r="W233">
        <v>4</v>
      </c>
      <c r="X233">
        <v>9.6297083333</v>
      </c>
      <c r="Y233">
        <v>49.679451333300001</v>
      </c>
      <c r="Z233">
        <v>4.6870000000000002E-2</v>
      </c>
      <c r="AA233">
        <v>477.11</v>
      </c>
      <c r="AB233">
        <v>1125.6300000000001</v>
      </c>
      <c r="AC233">
        <v>192.28</v>
      </c>
      <c r="AD233">
        <v>166.3</v>
      </c>
      <c r="AE233">
        <v>33610</v>
      </c>
      <c r="AF233">
        <v>3.4000000000000002E-2</v>
      </c>
      <c r="AG233">
        <v>9.6295525000000008</v>
      </c>
      <c r="AH233">
        <v>49.679408500000001</v>
      </c>
      <c r="AI233">
        <v>12</v>
      </c>
      <c r="AJ233">
        <v>0.49</v>
      </c>
      <c r="AK233">
        <v>168.2</v>
      </c>
      <c r="AL233">
        <v>227751100</v>
      </c>
      <c r="AM233">
        <v>2.1999999999999999E-2</v>
      </c>
    </row>
    <row r="234" spans="1:39" x14ac:dyDescent="0.25">
      <c r="A234">
        <v>0.431300000000021</v>
      </c>
      <c r="B234">
        <v>275.15222</v>
      </c>
      <c r="C234">
        <v>-1.19048484848244E-2</v>
      </c>
      <c r="D234">
        <v>-5.0400000000081499E-3</v>
      </c>
      <c r="E234" s="1">
        <v>45846</v>
      </c>
      <c r="F234">
        <v>227751300</v>
      </c>
      <c r="G234">
        <v>4</v>
      </c>
      <c r="H234">
        <v>9.6293823333000006</v>
      </c>
      <c r="I234">
        <v>49.679418499999997</v>
      </c>
      <c r="J234">
        <v>4.65E-2</v>
      </c>
      <c r="K234">
        <v>110.65</v>
      </c>
      <c r="L234">
        <v>-1227.22</v>
      </c>
      <c r="M234">
        <v>120.52</v>
      </c>
      <c r="N234">
        <v>167</v>
      </c>
      <c r="O234">
        <v>33679.999999999898</v>
      </c>
      <c r="P234">
        <v>3.2000000000000001E-2</v>
      </c>
      <c r="Q234">
        <v>0.28526999999999703</v>
      </c>
      <c r="R234">
        <v>67.076030000000003</v>
      </c>
      <c r="S234">
        <v>-1.2209090910599899E-3</v>
      </c>
      <c r="T234">
        <v>4.6230000000008403E-2</v>
      </c>
      <c r="U234" s="1">
        <v>45846</v>
      </c>
      <c r="V234">
        <v>227751300</v>
      </c>
      <c r="W234">
        <v>4</v>
      </c>
      <c r="X234">
        <v>9.6297083333</v>
      </c>
      <c r="Y234">
        <v>49.679451333300001</v>
      </c>
      <c r="Z234">
        <v>4.6879999999999998E-2</v>
      </c>
      <c r="AA234">
        <v>476.01</v>
      </c>
      <c r="AB234">
        <v>1125.57</v>
      </c>
      <c r="AC234">
        <v>191.86</v>
      </c>
      <c r="AD234">
        <v>166.3</v>
      </c>
      <c r="AE234">
        <v>33610</v>
      </c>
      <c r="AF234">
        <v>0.03</v>
      </c>
      <c r="AG234">
        <v>9.6295525000000008</v>
      </c>
      <c r="AH234">
        <v>49.679408500000001</v>
      </c>
      <c r="AI234">
        <v>12</v>
      </c>
      <c r="AJ234">
        <v>0.49</v>
      </c>
      <c r="AK234">
        <v>168.2</v>
      </c>
      <c r="AL234">
        <v>227751300</v>
      </c>
      <c r="AM234">
        <v>2.1000000000000001E-2</v>
      </c>
    </row>
    <row r="235" spans="1:39" x14ac:dyDescent="0.25">
      <c r="A235">
        <v>0.43981999999999699</v>
      </c>
      <c r="B235">
        <v>275.16073999999998</v>
      </c>
      <c r="C235">
        <v>-7.2921212126024698E-3</v>
      </c>
      <c r="D235">
        <v>8.5199999999758698E-3</v>
      </c>
      <c r="E235" s="1">
        <v>45846</v>
      </c>
      <c r="F235">
        <v>227751500</v>
      </c>
      <c r="G235">
        <v>4</v>
      </c>
      <c r="H235">
        <v>9.6293823333000006</v>
      </c>
      <c r="I235">
        <v>49.679418499999997</v>
      </c>
      <c r="J235">
        <v>4.65E-2</v>
      </c>
      <c r="K235">
        <v>110.85</v>
      </c>
      <c r="L235">
        <v>-1227.3</v>
      </c>
      <c r="M235">
        <v>120.6</v>
      </c>
      <c r="N235">
        <v>167</v>
      </c>
      <c r="O235">
        <v>33679.999999999898</v>
      </c>
      <c r="P235">
        <v>2.5999999999999999E-2</v>
      </c>
      <c r="Q235">
        <v>0.241900000000001</v>
      </c>
      <c r="R235">
        <v>67.032660000000007</v>
      </c>
      <c r="S235">
        <v>-7.9581818206514304E-3</v>
      </c>
      <c r="T235">
        <v>-4.3369999999995898E-2</v>
      </c>
      <c r="U235" s="1">
        <v>45846</v>
      </c>
      <c r="V235">
        <v>227751500</v>
      </c>
      <c r="W235">
        <v>4</v>
      </c>
      <c r="X235">
        <v>9.6297083333</v>
      </c>
      <c r="Y235">
        <v>49.679451333300001</v>
      </c>
      <c r="Z235">
        <v>4.6870000000000002E-2</v>
      </c>
      <c r="AA235">
        <v>477</v>
      </c>
      <c r="AB235">
        <v>1125.52</v>
      </c>
      <c r="AC235">
        <v>192.16</v>
      </c>
      <c r="AD235">
        <v>166.3</v>
      </c>
      <c r="AE235">
        <v>33610</v>
      </c>
      <c r="AF235">
        <v>3.5000000000000003E-2</v>
      </c>
      <c r="AG235">
        <v>9.6295525000000008</v>
      </c>
      <c r="AH235">
        <v>49.679408333300003</v>
      </c>
      <c r="AI235">
        <v>12</v>
      </c>
      <c r="AJ235">
        <v>0.49</v>
      </c>
      <c r="AK235">
        <v>168.2</v>
      </c>
      <c r="AL235">
        <v>227751500</v>
      </c>
      <c r="AM235">
        <v>1.7999999999999999E-2</v>
      </c>
    </row>
    <row r="236" spans="1:39" x14ac:dyDescent="0.25">
      <c r="A236">
        <v>0.42959999999999299</v>
      </c>
      <c r="B236">
        <v>275.15051999999997</v>
      </c>
      <c r="C236">
        <v>-8.3309090909076105E-3</v>
      </c>
      <c r="D236">
        <v>-1.0220000000003801E-2</v>
      </c>
      <c r="E236" s="1">
        <v>45846</v>
      </c>
      <c r="F236">
        <v>227751700</v>
      </c>
      <c r="G236">
        <v>4</v>
      </c>
      <c r="H236">
        <v>9.6293825000000002</v>
      </c>
      <c r="I236">
        <v>49.679418333299999</v>
      </c>
      <c r="J236">
        <v>4.65E-2</v>
      </c>
      <c r="K236">
        <v>110.62</v>
      </c>
      <c r="L236">
        <v>-1227.21</v>
      </c>
      <c r="M236">
        <v>120.58</v>
      </c>
      <c r="N236">
        <v>167</v>
      </c>
      <c r="O236">
        <v>33679.999999999898</v>
      </c>
      <c r="P236">
        <v>3.4000000000000002E-2</v>
      </c>
      <c r="Q236">
        <v>0.275030000000001</v>
      </c>
      <c r="R236">
        <v>67.065790000000007</v>
      </c>
      <c r="S236">
        <v>-1.48551515144513E-2</v>
      </c>
      <c r="T236">
        <v>3.3129999999999798E-2</v>
      </c>
      <c r="U236" s="1">
        <v>45846</v>
      </c>
      <c r="V236">
        <v>227751700</v>
      </c>
      <c r="W236">
        <v>4</v>
      </c>
      <c r="X236">
        <v>9.6297083333</v>
      </c>
      <c r="Y236">
        <v>49.679451333300001</v>
      </c>
      <c r="Z236">
        <v>4.6879999999999998E-2</v>
      </c>
      <c r="AA236">
        <v>476.24</v>
      </c>
      <c r="AB236">
        <v>1125.53</v>
      </c>
      <c r="AC236">
        <v>191.84</v>
      </c>
      <c r="AD236">
        <v>166.3</v>
      </c>
      <c r="AE236">
        <v>33610</v>
      </c>
      <c r="AF236">
        <v>3.7999999999999999E-2</v>
      </c>
      <c r="AG236">
        <v>9.6295525000000008</v>
      </c>
      <c r="AH236">
        <v>49.679408333300003</v>
      </c>
      <c r="AI236">
        <v>12</v>
      </c>
      <c r="AJ236">
        <v>0.49</v>
      </c>
      <c r="AK236">
        <v>168.2</v>
      </c>
      <c r="AL236">
        <v>227751700</v>
      </c>
      <c r="AM236">
        <v>1.9E-2</v>
      </c>
    </row>
    <row r="237" spans="1:39" x14ac:dyDescent="0.25">
      <c r="A237">
        <v>0.44375999999999699</v>
      </c>
      <c r="B237">
        <v>275.16467999999998</v>
      </c>
      <c r="C237">
        <v>-2.6751515151750599E-3</v>
      </c>
      <c r="D237">
        <v>1.41600000000039E-2</v>
      </c>
      <c r="E237" s="1">
        <v>45846</v>
      </c>
      <c r="F237">
        <v>227751900</v>
      </c>
      <c r="G237">
        <v>4</v>
      </c>
      <c r="H237">
        <v>9.6293825000000002</v>
      </c>
      <c r="I237">
        <v>49.679418333299999</v>
      </c>
      <c r="J237">
        <v>4.65E-2</v>
      </c>
      <c r="K237">
        <v>110.92</v>
      </c>
      <c r="L237">
        <v>-1227.22</v>
      </c>
      <c r="M237">
        <v>120.66</v>
      </c>
      <c r="N237">
        <v>167</v>
      </c>
      <c r="O237">
        <v>33679.999999999898</v>
      </c>
      <c r="P237">
        <v>1.6E-2</v>
      </c>
      <c r="Q237">
        <v>0.274409999999988</v>
      </c>
      <c r="R237">
        <v>67.065169999999995</v>
      </c>
      <c r="S237">
        <v>-1.8237878788148299E-2</v>
      </c>
      <c r="T237">
        <v>-6.2000000001205503E-4</v>
      </c>
      <c r="U237" s="1">
        <v>45846</v>
      </c>
      <c r="V237">
        <v>227751900</v>
      </c>
      <c r="W237">
        <v>4</v>
      </c>
      <c r="X237">
        <v>9.6297084999999996</v>
      </c>
      <c r="Y237">
        <v>49.679451166699998</v>
      </c>
      <c r="Z237">
        <v>4.6879999999999998E-2</v>
      </c>
      <c r="AA237">
        <v>476.25</v>
      </c>
      <c r="AB237">
        <v>1125.53</v>
      </c>
      <c r="AC237">
        <v>192.29</v>
      </c>
      <c r="AD237">
        <v>166.3</v>
      </c>
      <c r="AE237">
        <v>33610</v>
      </c>
      <c r="AF237">
        <v>4.8000000000000001E-2</v>
      </c>
      <c r="AG237">
        <v>9.6295525000000008</v>
      </c>
      <c r="AH237">
        <v>49.679408333300003</v>
      </c>
      <c r="AI237">
        <v>12</v>
      </c>
      <c r="AJ237">
        <v>0.49</v>
      </c>
      <c r="AK237">
        <v>168.2</v>
      </c>
      <c r="AL237">
        <v>227751900</v>
      </c>
      <c r="AM237">
        <v>2.5000000000000001E-2</v>
      </c>
    </row>
    <row r="238" spans="1:39" x14ac:dyDescent="0.25">
      <c r="A238">
        <v>0.43731999999999899</v>
      </c>
      <c r="B238">
        <v>275.15823999999998</v>
      </c>
      <c r="C238">
        <v>-1.50909090909451E-3</v>
      </c>
      <c r="D238">
        <v>-6.43999999999778E-3</v>
      </c>
      <c r="E238" s="1">
        <v>45846</v>
      </c>
      <c r="F238">
        <v>227752100</v>
      </c>
      <c r="G238">
        <v>4</v>
      </c>
      <c r="H238">
        <v>9.6293825000000002</v>
      </c>
      <c r="I238">
        <v>49.679418333299999</v>
      </c>
      <c r="J238">
        <v>4.65E-2</v>
      </c>
      <c r="K238">
        <v>110.79</v>
      </c>
      <c r="L238">
        <v>-1227.28</v>
      </c>
      <c r="M238">
        <v>120.02</v>
      </c>
      <c r="N238">
        <v>167</v>
      </c>
      <c r="O238">
        <v>33679.999999999898</v>
      </c>
      <c r="P238">
        <v>4.7E-2</v>
      </c>
      <c r="Q238">
        <v>0.27187999999999501</v>
      </c>
      <c r="R238">
        <v>67.062640000000002</v>
      </c>
      <c r="S238">
        <v>-7.5593939397939104E-3</v>
      </c>
      <c r="T238">
        <v>-2.52999999999303E-3</v>
      </c>
      <c r="U238" s="1">
        <v>45846</v>
      </c>
      <c r="V238">
        <v>227752100</v>
      </c>
      <c r="W238">
        <v>4</v>
      </c>
      <c r="X238">
        <v>9.6297084999999996</v>
      </c>
      <c r="Y238">
        <v>49.679451166699998</v>
      </c>
      <c r="Z238">
        <v>4.6879999999999998E-2</v>
      </c>
      <c r="AA238">
        <v>476.31</v>
      </c>
      <c r="AB238">
        <v>1125.54</v>
      </c>
      <c r="AC238">
        <v>191.94</v>
      </c>
      <c r="AD238">
        <v>166.3</v>
      </c>
      <c r="AE238">
        <v>33610</v>
      </c>
      <c r="AF238">
        <v>4.3999999999999997E-2</v>
      </c>
      <c r="AG238">
        <v>9.6295525000000008</v>
      </c>
      <c r="AH238">
        <v>49.679408333300003</v>
      </c>
      <c r="AI238">
        <v>12</v>
      </c>
      <c r="AJ238">
        <v>0.49</v>
      </c>
      <c r="AK238">
        <v>168.2</v>
      </c>
      <c r="AL238">
        <v>227752100</v>
      </c>
      <c r="AM238">
        <v>8.9999999999999993E-3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E5CA-214A-4E50-B116-9E7842304B8D}">
  <dimension ref="A1:I240"/>
  <sheetViews>
    <sheetView workbookViewId="0">
      <selection activeCell="J5" sqref="J5"/>
    </sheetView>
  </sheetViews>
  <sheetFormatPr baseColWidth="10" defaultRowHeight="15" x14ac:dyDescent="0.25"/>
  <cols>
    <col min="4" max="4" width="14.42578125" bestFit="1" customWidth="1"/>
    <col min="5" max="5" width="20" bestFit="1" customWidth="1"/>
    <col min="6" max="6" width="16.7109375" bestFit="1" customWidth="1"/>
    <col min="10" max="10" width="11.28515625" customWidth="1"/>
    <col min="11" max="11" width="11.140625" customWidth="1"/>
  </cols>
  <sheetData>
    <row r="1" spans="1:9" ht="21" x14ac:dyDescent="0.35">
      <c r="A1" s="9" t="s">
        <v>75</v>
      </c>
      <c r="D1" s="18"/>
      <c r="I1" s="18"/>
    </row>
    <row r="2" spans="1:9" ht="21" x14ac:dyDescent="0.35">
      <c r="A2" s="9"/>
      <c r="D2" s="19" t="s">
        <v>76</v>
      </c>
      <c r="E2" s="19"/>
      <c r="G2" s="19" t="s">
        <v>79</v>
      </c>
      <c r="H2" s="19"/>
    </row>
    <row r="3" spans="1:9" x14ac:dyDescent="0.25">
      <c r="B3" s="2" t="s">
        <v>74</v>
      </c>
      <c r="D3" s="2" t="s">
        <v>77</v>
      </c>
      <c r="E3" s="2" t="s">
        <v>78</v>
      </c>
      <c r="G3" s="2" t="s">
        <v>80</v>
      </c>
      <c r="H3" s="2" t="s">
        <v>81</v>
      </c>
    </row>
    <row r="4" spans="1:9" x14ac:dyDescent="0.25">
      <c r="B4">
        <f>(CSV_Import!F2-CSV_Import!$F$2)/1000</f>
        <v>0</v>
      </c>
      <c r="D4">
        <f>ROUND(TAN(RADIANS(CSV_Import!A2))*((Auswertung!$C$8*100)/2-Auswertung!$C$9),3)</f>
        <v>0</v>
      </c>
      <c r="E4">
        <f>ROUND(TAN(RADIANS(CSV_Import!Q2))*((Auswertung!$C$8/2)*100-Auswertung!$C$9),3)</f>
        <v>0</v>
      </c>
      <c r="G4">
        <f>(CSV_Import!M2-CSV_Import!$M$2)</f>
        <v>0</v>
      </c>
      <c r="H4">
        <f>(CSV_Import!AC2-CSV_Import!$AC$2)</f>
        <v>0</v>
      </c>
    </row>
    <row r="5" spans="1:9" x14ac:dyDescent="0.25">
      <c r="B5">
        <f>(CSV_Import!F3-CSV_Import!$F$2)/1000</f>
        <v>0.2</v>
      </c>
      <c r="D5">
        <f>ROUND(TAN(RADIANS(CSV_Import!A3))*((Auswertung!$C$8*100)/2-Auswertung!$C$9),3)</f>
        <v>0.151</v>
      </c>
      <c r="E5">
        <f>ROUND(TAN(RADIANS(CSV_Import!Q3))*((Auswertung!$C$8/2)*100-Auswertung!$C$9),3)</f>
        <v>0.14499999999999999</v>
      </c>
      <c r="G5">
        <f>(CSV_Import!M3-CSV_Import!$M$2)</f>
        <v>-0.24000000000000909</v>
      </c>
      <c r="H5">
        <f>(CSV_Import!AC3-CSV_Import!$AC$2)</f>
        <v>-9.9999999999994316E-2</v>
      </c>
    </row>
    <row r="6" spans="1:9" x14ac:dyDescent="0.25">
      <c r="B6">
        <f>(CSV_Import!F4-CSV_Import!$F$2)/1000</f>
        <v>0.4</v>
      </c>
      <c r="D6">
        <f>ROUND(TAN(RADIANS(CSV_Import!A4))*((Auswertung!$C$8*100)/2-Auswertung!$C$9),3)</f>
        <v>0.25900000000000001</v>
      </c>
      <c r="E6">
        <f>ROUND(TAN(RADIANS(CSV_Import!Q4))*((Auswertung!$C$8/2)*100-Auswertung!$C$9),3)</f>
        <v>-3.4000000000000002E-2</v>
      </c>
      <c r="G6">
        <f>(CSV_Import!M4-CSV_Import!$M$2)</f>
        <v>-7.00000000000216E-2</v>
      </c>
      <c r="H6">
        <f>(CSV_Import!AC4-CSV_Import!$AC$2)</f>
        <v>-0.15999999999999659</v>
      </c>
    </row>
    <row r="7" spans="1:9" x14ac:dyDescent="0.25">
      <c r="B7">
        <f>(CSV_Import!F5-CSV_Import!$F$2)/1000</f>
        <v>0.6</v>
      </c>
      <c r="D7">
        <f>ROUND(TAN(RADIANS(CSV_Import!A5))*((Auswertung!$C$8*100)/2-Auswertung!$C$9),3)</f>
        <v>-8.9999999999999993E-3</v>
      </c>
      <c r="E7">
        <f>ROUND(TAN(RADIANS(CSV_Import!Q5))*((Auswertung!$C$8/2)*100-Auswertung!$C$9),3)</f>
        <v>-9.0999999999999998E-2</v>
      </c>
      <c r="G7">
        <f>(CSV_Import!M5-CSV_Import!$M$2)</f>
        <v>-5.0000000000011369E-2</v>
      </c>
      <c r="H7">
        <f>(CSV_Import!AC5-CSV_Import!$AC$2)</f>
        <v>-0.16999999999998749</v>
      </c>
    </row>
    <row r="8" spans="1:9" x14ac:dyDescent="0.25">
      <c r="B8">
        <f>(CSV_Import!F6-CSV_Import!$F$2)/1000</f>
        <v>0.8</v>
      </c>
      <c r="D8">
        <f>ROUND(TAN(RADIANS(CSV_Import!A6))*((Auswertung!$C$8*100)/2-Auswertung!$C$9),3)</f>
        <v>-7.5999999999999998E-2</v>
      </c>
      <c r="E8">
        <f>ROUND(TAN(RADIANS(CSV_Import!Q6))*((Auswertung!$C$8/2)*100-Auswertung!$C$9),3)</f>
        <v>0.24199999999999999</v>
      </c>
      <c r="G8">
        <f>(CSV_Import!M6-CSV_Import!$M$2)</f>
        <v>-0.15000000000000568</v>
      </c>
      <c r="H8">
        <f>(CSV_Import!AC6-CSV_Import!$AC$2)</f>
        <v>-0.48999999999998067</v>
      </c>
    </row>
    <row r="9" spans="1:9" x14ac:dyDescent="0.25">
      <c r="B9">
        <f>(CSV_Import!F7-CSV_Import!$F$2)/1000</f>
        <v>1</v>
      </c>
      <c r="D9">
        <f>ROUND(TAN(RADIANS(CSV_Import!A7))*((Auswertung!$C$8*100)/2-Auswertung!$C$9),3)</f>
        <v>-0.158</v>
      </c>
      <c r="E9">
        <f>ROUND(TAN(RADIANS(CSV_Import!Q7))*((Auswertung!$C$8/2)*100-Auswertung!$C$9),3)</f>
        <v>0.45700000000000002</v>
      </c>
      <c r="G9">
        <f>(CSV_Import!M7-CSV_Import!$M$2)</f>
        <v>-0.65000000000000568</v>
      </c>
      <c r="H9">
        <f>(CSV_Import!AC7-CSV_Import!$AC$2)</f>
        <v>-0.40000000000000568</v>
      </c>
    </row>
    <row r="10" spans="1:9" x14ac:dyDescent="0.25">
      <c r="B10">
        <f>(CSV_Import!F8-CSV_Import!$F$2)/1000</f>
        <v>1.2</v>
      </c>
      <c r="D10">
        <f>ROUND(TAN(RADIANS(CSV_Import!A8))*((Auswertung!$C$8*100)/2-Auswertung!$C$9),3)</f>
        <v>-0.312</v>
      </c>
      <c r="E10">
        <f>ROUND(TAN(RADIANS(CSV_Import!Q8))*((Auswertung!$C$8/2)*100-Auswertung!$C$9),3)</f>
        <v>0.28899999999999998</v>
      </c>
      <c r="G10">
        <f>(CSV_Import!M8-CSV_Import!$M$2)</f>
        <v>-0.35000000000002274</v>
      </c>
      <c r="H10">
        <f>(CSV_Import!AC8-CSV_Import!$AC$2)</f>
        <v>-0.34999999999999432</v>
      </c>
    </row>
    <row r="11" spans="1:9" x14ac:dyDescent="0.25">
      <c r="B11">
        <f>(CSV_Import!F9-CSV_Import!$F$2)/1000</f>
        <v>1.4</v>
      </c>
      <c r="D11">
        <f>ROUND(TAN(RADIANS(CSV_Import!A9))*((Auswertung!$C$8*100)/2-Auswertung!$C$9),3)</f>
        <v>-0.22</v>
      </c>
      <c r="E11">
        <f>ROUND(TAN(RADIANS(CSV_Import!Q9))*((Auswertung!$C$8/2)*100-Auswertung!$C$9),3)</f>
        <v>0.35899999999999999</v>
      </c>
      <c r="G11">
        <f>(CSV_Import!M9-CSV_Import!$M$2)</f>
        <v>-0.26000000000001933</v>
      </c>
      <c r="H11">
        <f>(CSV_Import!AC9-CSV_Import!$AC$2)</f>
        <v>-0.16999999999998749</v>
      </c>
    </row>
    <row r="12" spans="1:9" x14ac:dyDescent="0.25">
      <c r="B12">
        <f>(CSV_Import!F10-CSV_Import!$F$2)/1000</f>
        <v>1.6</v>
      </c>
      <c r="D12">
        <f>ROUND(TAN(RADIANS(CSV_Import!A10))*((Auswertung!$C$8*100)/2-Auswertung!$C$9),3)</f>
        <v>0.14799999999999999</v>
      </c>
      <c r="E12">
        <f>ROUND(TAN(RADIANS(CSV_Import!Q10))*((Auswertung!$C$8/2)*100-Auswertung!$C$9),3)</f>
        <v>0.34899999999999998</v>
      </c>
      <c r="G12">
        <f>(CSV_Import!M10-CSV_Import!$M$2)</f>
        <v>0.23999999999998067</v>
      </c>
      <c r="H12">
        <f>(CSV_Import!AC10-CSV_Import!$AC$2)</f>
        <v>-0.31999999999999318</v>
      </c>
    </row>
    <row r="13" spans="1:9" x14ac:dyDescent="0.25">
      <c r="B13">
        <f>(CSV_Import!F11-CSV_Import!$F$2)/1000</f>
        <v>1.8</v>
      </c>
      <c r="D13">
        <f>ROUND(TAN(RADIANS(CSV_Import!A11))*((Auswertung!$C$8*100)/2-Auswertung!$C$9),3)</f>
        <v>0.11799999999999999</v>
      </c>
      <c r="E13">
        <f>ROUND(TAN(RADIANS(CSV_Import!Q11))*((Auswertung!$C$8/2)*100-Auswertung!$C$9),3)</f>
        <v>0.114</v>
      </c>
      <c r="G13">
        <f>(CSV_Import!M11-CSV_Import!$M$2)</f>
        <v>2.9999999999972715E-2</v>
      </c>
      <c r="H13">
        <f>(CSV_Import!AC11-CSV_Import!$AC$2)</f>
        <v>-0.29999999999998295</v>
      </c>
    </row>
    <row r="14" spans="1:9" x14ac:dyDescent="0.25">
      <c r="B14">
        <f>(CSV_Import!F12-CSV_Import!$F$2)/1000</f>
        <v>2</v>
      </c>
      <c r="D14">
        <f>ROUND(TAN(RADIANS(CSV_Import!A12))*((Auswertung!$C$8*100)/2-Auswertung!$C$9),3)</f>
        <v>3.7999999999999999E-2</v>
      </c>
      <c r="E14">
        <f>ROUND(TAN(RADIANS(CSV_Import!Q12))*((Auswertung!$C$8/2)*100-Auswertung!$C$9),3)</f>
        <v>0.151</v>
      </c>
      <c r="G14">
        <f>(CSV_Import!M12-CSV_Import!$M$2)</f>
        <v>0.14999999999997726</v>
      </c>
      <c r="H14">
        <f>(CSV_Import!AC12-CSV_Import!$AC$2)</f>
        <v>-0.19999999999998863</v>
      </c>
    </row>
    <row r="15" spans="1:9" x14ac:dyDescent="0.25">
      <c r="B15">
        <f>(CSV_Import!F13-CSV_Import!$F$2)/1000</f>
        <v>2.2000000000000002</v>
      </c>
      <c r="D15">
        <f>ROUND(TAN(RADIANS(CSV_Import!A13))*((Auswertung!$C$8*100)/2-Auswertung!$C$9),3)</f>
        <v>3.2000000000000001E-2</v>
      </c>
      <c r="E15">
        <f>ROUND(TAN(RADIANS(CSV_Import!Q13))*((Auswertung!$C$8/2)*100-Auswertung!$C$9),3)</f>
        <v>-1.6E-2</v>
      </c>
      <c r="G15">
        <f>(CSV_Import!M13-CSV_Import!$M$2)</f>
        <v>-0.10000000000002274</v>
      </c>
      <c r="H15">
        <f>(CSV_Import!AC13-CSV_Import!$AC$2)</f>
        <v>-9.9999999999909051E-3</v>
      </c>
    </row>
    <row r="16" spans="1:9" x14ac:dyDescent="0.25">
      <c r="B16">
        <f>(CSV_Import!F14-CSV_Import!$F$2)/1000</f>
        <v>2.4</v>
      </c>
      <c r="D16">
        <f>ROUND(TAN(RADIANS(CSV_Import!A14))*((Auswertung!$C$8*100)/2-Auswertung!$C$9),3)</f>
        <v>8.0000000000000002E-3</v>
      </c>
      <c r="E16">
        <f>ROUND(TAN(RADIANS(CSV_Import!Q14))*((Auswertung!$C$8/2)*100-Auswertung!$C$9),3)</f>
        <v>-0.19800000000000001</v>
      </c>
      <c r="G16">
        <f>(CSV_Import!M14-CSV_Import!$M$2)</f>
        <v>-6.0000000000002274E-2</v>
      </c>
      <c r="H16">
        <f>(CSV_Import!AC14-CSV_Import!$AC$2)</f>
        <v>-0.12000000000000455</v>
      </c>
    </row>
    <row r="17" spans="2:8" x14ac:dyDescent="0.25">
      <c r="B17">
        <f>(CSV_Import!F15-CSV_Import!$F$2)/1000</f>
        <v>2.6</v>
      </c>
      <c r="D17">
        <f>ROUND(TAN(RADIANS(CSV_Import!A15))*((Auswertung!$C$8*100)/2-Auswertung!$C$9),3)</f>
        <v>7.4999999999999997E-2</v>
      </c>
      <c r="E17">
        <f>ROUND(TAN(RADIANS(CSV_Import!Q15))*((Auswertung!$C$8/2)*100-Auswertung!$C$9),3)</f>
        <v>-0.215</v>
      </c>
      <c r="G17">
        <f>(CSV_Import!M15-CSV_Import!$M$2)</f>
        <v>-0.13000000000002387</v>
      </c>
      <c r="H17">
        <f>(CSV_Import!AC15-CSV_Import!$AC$2)</f>
        <v>-0.12000000000000455</v>
      </c>
    </row>
    <row r="18" spans="2:8" x14ac:dyDescent="0.25">
      <c r="B18">
        <f>(CSV_Import!F16-CSV_Import!$F$2)/1000</f>
        <v>2.8</v>
      </c>
      <c r="D18">
        <f>ROUND(TAN(RADIANS(CSV_Import!A16))*((Auswertung!$C$8*100)/2-Auswertung!$C$9),3)</f>
        <v>-8.1000000000000003E-2</v>
      </c>
      <c r="E18">
        <f>ROUND(TAN(RADIANS(CSV_Import!Q16))*((Auswertung!$C$8/2)*100-Auswertung!$C$9),3)</f>
        <v>4.3999999999999997E-2</v>
      </c>
      <c r="G18">
        <f>(CSV_Import!M16-CSV_Import!$M$2)</f>
        <v>0.1799999999999784</v>
      </c>
      <c r="H18">
        <f>(CSV_Import!AC16-CSV_Import!$AC$2)</f>
        <v>-1.1099999999999852</v>
      </c>
    </row>
    <row r="19" spans="2:8" x14ac:dyDescent="0.25">
      <c r="B19">
        <f>(CSV_Import!F17-CSV_Import!$F$2)/1000</f>
        <v>3</v>
      </c>
      <c r="D19">
        <f>ROUND(TAN(RADIANS(CSV_Import!A17))*((Auswertung!$C$8*100)/2-Auswertung!$C$9),3)</f>
        <v>-0.16700000000000001</v>
      </c>
      <c r="E19">
        <f>ROUND(TAN(RADIANS(CSV_Import!Q17))*((Auswertung!$C$8/2)*100-Auswertung!$C$9),3)</f>
        <v>-0.254</v>
      </c>
      <c r="G19">
        <f>(CSV_Import!M17-CSV_Import!$M$2)</f>
        <v>-0.44000000000002615</v>
      </c>
      <c r="H19">
        <f>(CSV_Import!AC17-CSV_Import!$AC$2)</f>
        <v>1.0000000000019327E-2</v>
      </c>
    </row>
    <row r="20" spans="2:8" x14ac:dyDescent="0.25">
      <c r="B20">
        <f>(CSV_Import!F18-CSV_Import!$F$2)/1000</f>
        <v>3.2</v>
      </c>
      <c r="D20">
        <f>ROUND(TAN(RADIANS(CSV_Import!A18))*((Auswertung!$C$8*100)/2-Auswertung!$C$9),3)</f>
        <v>-0.19800000000000001</v>
      </c>
      <c r="E20">
        <f>ROUND(TAN(RADIANS(CSV_Import!Q18))*((Auswertung!$C$8/2)*100-Auswertung!$C$9),3)</f>
        <v>-0.39100000000000001</v>
      </c>
      <c r="G20">
        <f>(CSV_Import!M18-CSV_Import!$M$2)</f>
        <v>-0.15000000000000568</v>
      </c>
      <c r="H20">
        <f>(CSV_Import!AC18-CSV_Import!$AC$2)</f>
        <v>-0.22999999999998977</v>
      </c>
    </row>
    <row r="21" spans="2:8" x14ac:dyDescent="0.25">
      <c r="B21">
        <f>(CSV_Import!F19-CSV_Import!$F$2)/1000</f>
        <v>3.4</v>
      </c>
      <c r="D21">
        <f>ROUND(TAN(RADIANS(CSV_Import!A19))*((Auswertung!$C$8*100)/2-Auswertung!$C$9),3)</f>
        <v>-0.46800000000000003</v>
      </c>
      <c r="E21">
        <f>ROUND(TAN(RADIANS(CSV_Import!Q19))*((Auswertung!$C$8/2)*100-Auswertung!$C$9),3)</f>
        <v>-0.45500000000000002</v>
      </c>
      <c r="G21">
        <f>(CSV_Import!M19-CSV_Import!$M$2)</f>
        <v>9.9999999999994316E-2</v>
      </c>
      <c r="H21">
        <f>(CSV_Import!AC19-CSV_Import!$AC$2)</f>
        <v>-9.9999999999994316E-2</v>
      </c>
    </row>
    <row r="22" spans="2:8" x14ac:dyDescent="0.25">
      <c r="B22">
        <f>(CSV_Import!F20-CSV_Import!$F$2)/1000</f>
        <v>3.6</v>
      </c>
      <c r="D22">
        <f>ROUND(TAN(RADIANS(CSV_Import!A20))*((Auswertung!$C$8*100)/2-Auswertung!$C$9),3)</f>
        <v>-0.19700000000000001</v>
      </c>
      <c r="E22">
        <f>ROUND(TAN(RADIANS(CSV_Import!Q20))*((Auswertung!$C$8/2)*100-Auswertung!$C$9),3)</f>
        <v>-0.252</v>
      </c>
      <c r="G22">
        <f>(CSV_Import!M20-CSV_Import!$M$2)</f>
        <v>0.18999999999999773</v>
      </c>
      <c r="H22">
        <f>(CSV_Import!AC20-CSV_Import!$AC$2)</f>
        <v>-0.81000000000000227</v>
      </c>
    </row>
    <row r="23" spans="2:8" x14ac:dyDescent="0.25">
      <c r="B23">
        <f>(CSV_Import!F21-CSV_Import!$F$2)/1000</f>
        <v>3.8</v>
      </c>
      <c r="D23">
        <f>ROUND(TAN(RADIANS(CSV_Import!A21))*((Auswertung!$C$8*100)/2-Auswertung!$C$9),3)</f>
        <v>-3.5999999999999997E-2</v>
      </c>
      <c r="E23">
        <f>ROUND(TAN(RADIANS(CSV_Import!Q21))*((Auswertung!$C$8/2)*100-Auswertung!$C$9),3)</f>
        <v>-0.186</v>
      </c>
      <c r="G23">
        <f>(CSV_Import!M21-CSV_Import!$M$2)</f>
        <v>0.10999999999998522</v>
      </c>
      <c r="H23">
        <f>(CSV_Import!AC21-CSV_Import!$AC$2)</f>
        <v>-0.18999999999999773</v>
      </c>
    </row>
    <row r="24" spans="2:8" x14ac:dyDescent="0.25">
      <c r="B24">
        <f>(CSV_Import!F22-CSV_Import!$F$2)/1000</f>
        <v>4</v>
      </c>
      <c r="D24">
        <f>ROUND(TAN(RADIANS(CSV_Import!A22))*((Auswertung!$C$8*100)/2-Auswertung!$C$9),3)</f>
        <v>-0.14599999999999999</v>
      </c>
      <c r="E24">
        <f>ROUND(TAN(RADIANS(CSV_Import!Q22))*((Auswertung!$C$8/2)*100-Auswertung!$C$9),3)</f>
        <v>-0.219</v>
      </c>
      <c r="G24">
        <f>(CSV_Import!M22-CSV_Import!$M$2)</f>
        <v>7.9999999999984084E-2</v>
      </c>
      <c r="H24">
        <f>(CSV_Import!AC22-CSV_Import!$AC$2)</f>
        <v>-0.35999999999998522</v>
      </c>
    </row>
    <row r="25" spans="2:8" x14ac:dyDescent="0.25">
      <c r="B25">
        <f>(CSV_Import!F23-CSV_Import!$F$2)/1000</f>
        <v>4.2</v>
      </c>
      <c r="D25">
        <f>ROUND(TAN(RADIANS(CSV_Import!A23))*((Auswertung!$C$8*100)/2-Auswertung!$C$9),3)</f>
        <v>-0.224</v>
      </c>
      <c r="E25">
        <f>ROUND(TAN(RADIANS(CSV_Import!Q23))*((Auswertung!$C$8/2)*100-Auswertung!$C$9),3)</f>
        <v>-0.252</v>
      </c>
      <c r="G25">
        <f>(CSV_Import!M23-CSV_Import!$M$2)</f>
        <v>7.9999999999984084E-2</v>
      </c>
      <c r="H25">
        <f>(CSV_Import!AC23-CSV_Import!$AC$2)</f>
        <v>1.0000000000019327E-2</v>
      </c>
    </row>
    <row r="26" spans="2:8" x14ac:dyDescent="0.25">
      <c r="B26">
        <f>(CSV_Import!F24-CSV_Import!$F$2)/1000</f>
        <v>4.4000000000000004</v>
      </c>
      <c r="D26">
        <f>ROUND(TAN(RADIANS(CSV_Import!A24))*((Auswertung!$C$8*100)/2-Auswertung!$C$9),3)</f>
        <v>-0.18099999999999999</v>
      </c>
      <c r="E26">
        <f>ROUND(TAN(RADIANS(CSV_Import!Q24))*((Auswertung!$C$8/2)*100-Auswertung!$C$9),3)</f>
        <v>-0.34100000000000003</v>
      </c>
      <c r="G26">
        <f>(CSV_Import!M24-CSV_Import!$M$2)</f>
        <v>0.18999999999999773</v>
      </c>
      <c r="H26">
        <f>(CSV_Import!AC24-CSV_Import!$AC$2)</f>
        <v>-0.28000000000000114</v>
      </c>
    </row>
    <row r="27" spans="2:8" x14ac:dyDescent="0.25">
      <c r="B27">
        <f>(CSV_Import!F25-CSV_Import!$F$2)/1000</f>
        <v>4.5999999999999996</v>
      </c>
      <c r="D27">
        <f>ROUND(TAN(RADIANS(CSV_Import!A25))*((Auswertung!$C$8*100)/2-Auswertung!$C$9),3)</f>
        <v>-0.24099999999999999</v>
      </c>
      <c r="E27">
        <f>ROUND(TAN(RADIANS(CSV_Import!Q25))*((Auswertung!$C$8/2)*100-Auswertung!$C$9),3)</f>
        <v>-0.16800000000000001</v>
      </c>
      <c r="G27">
        <f>(CSV_Import!M25-CSV_Import!$M$2)</f>
        <v>-0.13000000000002387</v>
      </c>
      <c r="H27">
        <f>(CSV_Import!AC25-CSV_Import!$AC$2)</f>
        <v>-0.43999999999999773</v>
      </c>
    </row>
    <row r="28" spans="2:8" x14ac:dyDescent="0.25">
      <c r="B28">
        <f>(CSV_Import!F26-CSV_Import!$F$2)/1000</f>
        <v>4.8</v>
      </c>
      <c r="D28">
        <f>ROUND(TAN(RADIANS(CSV_Import!A26))*((Auswertung!$C$8*100)/2-Auswertung!$C$9),3)</f>
        <v>-0.39200000000000002</v>
      </c>
      <c r="E28">
        <f>ROUND(TAN(RADIANS(CSV_Import!Q26))*((Auswertung!$C$8/2)*100-Auswertung!$C$9),3)</f>
        <v>-0.19500000000000001</v>
      </c>
      <c r="G28">
        <f>(CSV_Import!M26-CSV_Import!$M$2)</f>
        <v>-0.83000000000001251</v>
      </c>
      <c r="H28">
        <f>(CSV_Import!AC26-CSV_Import!$AC$2)</f>
        <v>-0.31000000000000227</v>
      </c>
    </row>
    <row r="29" spans="2:8" x14ac:dyDescent="0.25">
      <c r="B29">
        <f>(CSV_Import!F27-CSV_Import!$F$2)/1000</f>
        <v>5</v>
      </c>
      <c r="D29">
        <f>ROUND(TAN(RADIANS(CSV_Import!A27))*((Auswertung!$C$8*100)/2-Auswertung!$C$9),3)</f>
        <v>-0.245</v>
      </c>
      <c r="E29">
        <f>ROUND(TAN(RADIANS(CSV_Import!Q27))*((Auswertung!$C$8/2)*100-Auswertung!$C$9),3)</f>
        <v>-0.314</v>
      </c>
      <c r="G29">
        <f>(CSV_Import!M27-CSV_Import!$M$2)</f>
        <v>-1.0400000000000205</v>
      </c>
      <c r="H29">
        <f>(CSV_Import!AC27-CSV_Import!$AC$2)</f>
        <v>-0.31000000000000227</v>
      </c>
    </row>
    <row r="30" spans="2:8" x14ac:dyDescent="0.25">
      <c r="B30">
        <f>(CSV_Import!F28-CSV_Import!$F$2)/1000</f>
        <v>5.2</v>
      </c>
      <c r="D30">
        <f>ROUND(TAN(RADIANS(CSV_Import!A28))*((Auswertung!$C$8*100)/2-Auswertung!$C$9),3)</f>
        <v>-9.4E-2</v>
      </c>
      <c r="E30">
        <f>ROUND(TAN(RADIANS(CSV_Import!Q28))*((Auswertung!$C$8/2)*100-Auswertung!$C$9),3)</f>
        <v>-0.29599999999999999</v>
      </c>
      <c r="G30">
        <f>(CSV_Import!M28-CSV_Import!$M$2)</f>
        <v>-0.19000000000002615</v>
      </c>
      <c r="H30">
        <f>(CSV_Import!AC28-CSV_Import!$AC$2)</f>
        <v>0</v>
      </c>
    </row>
    <row r="31" spans="2:8" x14ac:dyDescent="0.25">
      <c r="B31">
        <f>(CSV_Import!F29-CSV_Import!$F$2)/1000</f>
        <v>5.4</v>
      </c>
      <c r="D31">
        <f>ROUND(TAN(RADIANS(CSV_Import!A29))*((Auswertung!$C$8*100)/2-Auswertung!$C$9),3)</f>
        <v>-0.20300000000000001</v>
      </c>
      <c r="E31">
        <f>ROUND(TAN(RADIANS(CSV_Import!Q29))*((Auswertung!$C$8/2)*100-Auswertung!$C$9),3)</f>
        <v>-7.2999999999999995E-2</v>
      </c>
      <c r="G31">
        <f>(CSV_Import!M29-CSV_Import!$M$2)</f>
        <v>0.1799999999999784</v>
      </c>
      <c r="H31">
        <f>(CSV_Import!AC29-CSV_Import!$AC$2)</f>
        <v>-0.35999999999998522</v>
      </c>
    </row>
    <row r="32" spans="2:8" x14ac:dyDescent="0.25">
      <c r="B32">
        <f>(CSV_Import!F30-CSV_Import!$F$2)/1000</f>
        <v>5.6</v>
      </c>
      <c r="D32">
        <f>ROUND(TAN(RADIANS(CSV_Import!A30))*((Auswertung!$C$8*100)/2-Auswertung!$C$9),3)</f>
        <v>-0.28899999999999998</v>
      </c>
      <c r="E32">
        <f>ROUND(TAN(RADIANS(CSV_Import!Q30))*((Auswertung!$C$8/2)*100-Auswertung!$C$9),3)</f>
        <v>-0.154</v>
      </c>
      <c r="G32">
        <f>(CSV_Import!M30-CSV_Import!$M$2)</f>
        <v>0.14999999999997726</v>
      </c>
      <c r="H32">
        <f>(CSV_Import!AC30-CSV_Import!$AC$2)</f>
        <v>-0.32999999999998408</v>
      </c>
    </row>
    <row r="33" spans="2:8" x14ac:dyDescent="0.25">
      <c r="B33">
        <f>(CSV_Import!F31-CSV_Import!$F$2)/1000</f>
        <v>5.8</v>
      </c>
      <c r="D33">
        <f>ROUND(TAN(RADIANS(CSV_Import!A31))*((Auswertung!$C$8*100)/2-Auswertung!$C$9),3)</f>
        <v>-0.307</v>
      </c>
      <c r="E33">
        <f>ROUND(TAN(RADIANS(CSV_Import!Q31))*((Auswertung!$C$8/2)*100-Auswertung!$C$9),3)</f>
        <v>-0.159</v>
      </c>
      <c r="G33">
        <f>(CSV_Import!M31-CSV_Import!$M$2)</f>
        <v>5.9999999999973852E-2</v>
      </c>
      <c r="H33">
        <f>(CSV_Import!AC31-CSV_Import!$AC$2)</f>
        <v>-0.18999999999999773</v>
      </c>
    </row>
    <row r="34" spans="2:8" x14ac:dyDescent="0.25">
      <c r="B34">
        <f>(CSV_Import!F32-CSV_Import!$F$2)/1000</f>
        <v>6</v>
      </c>
      <c r="D34">
        <f>ROUND(TAN(RADIANS(CSV_Import!A32))*((Auswertung!$C$8*100)/2-Auswertung!$C$9),3)</f>
        <v>-0.17</v>
      </c>
      <c r="E34">
        <f>ROUND(TAN(RADIANS(CSV_Import!Q32))*((Auswertung!$C$8/2)*100-Auswertung!$C$9),3)</f>
        <v>-0.36</v>
      </c>
      <c r="G34">
        <f>(CSV_Import!M32-CSV_Import!$M$2)</f>
        <v>-0.47000000000002728</v>
      </c>
      <c r="H34">
        <f>(CSV_Import!AC32-CSV_Import!$AC$2)</f>
        <v>-0.50999999999999091</v>
      </c>
    </row>
    <row r="35" spans="2:8" x14ac:dyDescent="0.25">
      <c r="B35">
        <f>(CSV_Import!F33-CSV_Import!$F$2)/1000</f>
        <v>6.2</v>
      </c>
      <c r="D35">
        <f>ROUND(TAN(RADIANS(CSV_Import!A33))*((Auswertung!$C$8*100)/2-Auswertung!$C$9),3)</f>
        <v>-0.16500000000000001</v>
      </c>
      <c r="E35">
        <f>ROUND(TAN(RADIANS(CSV_Import!Q33))*((Auswertung!$C$8/2)*100-Auswertung!$C$9),3)</f>
        <v>0.159</v>
      </c>
      <c r="G35">
        <f>(CSV_Import!M33-CSV_Import!$M$2)</f>
        <v>8.9999999999974989E-2</v>
      </c>
      <c r="H35">
        <f>(CSV_Import!AC33-CSV_Import!$AC$2)</f>
        <v>-0.31999999999999318</v>
      </c>
    </row>
    <row r="36" spans="2:8" x14ac:dyDescent="0.25">
      <c r="B36">
        <f>(CSV_Import!F34-CSV_Import!$F$2)/1000</f>
        <v>6.4</v>
      </c>
      <c r="D36">
        <f>ROUND(TAN(RADIANS(CSV_Import!A34))*((Auswertung!$C$8*100)/2-Auswertung!$C$9),3)</f>
        <v>-0.317</v>
      </c>
      <c r="E36">
        <f>ROUND(TAN(RADIANS(CSV_Import!Q34))*((Auswertung!$C$8/2)*100-Auswertung!$C$9),3)</f>
        <v>-0.22</v>
      </c>
      <c r="G36">
        <f>(CSV_Import!M34-CSV_Import!$M$2)</f>
        <v>-0.25</v>
      </c>
      <c r="H36">
        <f>(CSV_Import!AC34-CSV_Import!$AC$2)</f>
        <v>-0.45999999999997954</v>
      </c>
    </row>
    <row r="37" spans="2:8" x14ac:dyDescent="0.25">
      <c r="B37">
        <f>(CSV_Import!F35-CSV_Import!$F$2)/1000</f>
        <v>6.6</v>
      </c>
      <c r="D37">
        <f>ROUND(TAN(RADIANS(CSV_Import!A35))*((Auswertung!$C$8*100)/2-Auswertung!$C$9),3)</f>
        <v>-0.39700000000000002</v>
      </c>
      <c r="E37">
        <f>ROUND(TAN(RADIANS(CSV_Import!Q35))*((Auswertung!$C$8/2)*100-Auswertung!$C$9),3)</f>
        <v>-7.3999999999999996E-2</v>
      </c>
      <c r="G37">
        <f>(CSV_Import!M35-CSV_Import!$M$2)</f>
        <v>0.36999999999997613</v>
      </c>
      <c r="H37">
        <f>(CSV_Import!AC35-CSV_Import!$AC$2)</f>
        <v>-9.9999999999909051E-3</v>
      </c>
    </row>
    <row r="38" spans="2:8" x14ac:dyDescent="0.25">
      <c r="B38">
        <f>(CSV_Import!F36-CSV_Import!$F$2)/1000</f>
        <v>6.8</v>
      </c>
      <c r="D38">
        <f>ROUND(TAN(RADIANS(CSV_Import!A36))*((Auswertung!$C$8*100)/2-Auswertung!$C$9),3)</f>
        <v>-0.17100000000000001</v>
      </c>
      <c r="E38">
        <f>ROUND(TAN(RADIANS(CSV_Import!Q36))*((Auswertung!$C$8/2)*100-Auswertung!$C$9),3)</f>
        <v>-0.27</v>
      </c>
      <c r="G38">
        <f>(CSV_Import!M36-CSV_Import!$M$2)</f>
        <v>0.69999999999998863</v>
      </c>
      <c r="H38">
        <f>(CSV_Import!AC36-CSV_Import!$AC$2)</f>
        <v>-9.0000000000003411E-2</v>
      </c>
    </row>
    <row r="39" spans="2:8" x14ac:dyDescent="0.25">
      <c r="B39">
        <f>(CSV_Import!F37-CSV_Import!$F$2)/1000</f>
        <v>7</v>
      </c>
      <c r="D39">
        <f>ROUND(TAN(RADIANS(CSV_Import!A37))*((Auswertung!$C$8*100)/2-Auswertung!$C$9),3)</f>
        <v>-0.36599999999999999</v>
      </c>
      <c r="E39">
        <f>ROUND(TAN(RADIANS(CSV_Import!Q37))*((Auswertung!$C$8/2)*100-Auswertung!$C$9),3)</f>
        <v>-0.192</v>
      </c>
      <c r="G39">
        <f>(CSV_Import!M37-CSV_Import!$M$2)</f>
        <v>0.11999999999997613</v>
      </c>
      <c r="H39">
        <f>(CSV_Import!AC37-CSV_Import!$AC$2)</f>
        <v>-0.48999999999998067</v>
      </c>
    </row>
    <row r="40" spans="2:8" x14ac:dyDescent="0.25">
      <c r="B40">
        <f>(CSV_Import!F38-CSV_Import!$F$2)/1000</f>
        <v>7.2</v>
      </c>
      <c r="D40">
        <f>ROUND(TAN(RADIANS(CSV_Import!A38))*((Auswertung!$C$8*100)/2-Auswertung!$C$9),3)</f>
        <v>-0.41399999999999998</v>
      </c>
      <c r="E40">
        <f>ROUND(TAN(RADIANS(CSV_Import!Q38))*((Auswertung!$C$8/2)*100-Auswertung!$C$9),3)</f>
        <v>-0.121</v>
      </c>
      <c r="G40">
        <f>(CSV_Import!M38-CSV_Import!$M$2)</f>
        <v>0.16999999999998749</v>
      </c>
      <c r="H40">
        <f>(CSV_Import!AC38-CSV_Import!$AC$2)</f>
        <v>-0.29999999999998295</v>
      </c>
    </row>
    <row r="41" spans="2:8" x14ac:dyDescent="0.25">
      <c r="B41">
        <f>(CSV_Import!F39-CSV_Import!$F$2)/1000</f>
        <v>7.4</v>
      </c>
      <c r="D41">
        <f>ROUND(TAN(RADIANS(CSV_Import!A39))*((Auswertung!$C$8*100)/2-Auswertung!$C$9),3)</f>
        <v>-0.41099999999999998</v>
      </c>
      <c r="E41">
        <f>ROUND(TAN(RADIANS(CSV_Import!Q39))*((Auswertung!$C$8/2)*100-Auswertung!$C$9),3)</f>
        <v>-0.54400000000000004</v>
      </c>
      <c r="G41">
        <f>(CSV_Import!M39-CSV_Import!$M$2)</f>
        <v>-0.10000000000002274</v>
      </c>
      <c r="H41">
        <f>(CSV_Import!AC39-CSV_Import!$AC$2)</f>
        <v>-0.23999999999998067</v>
      </c>
    </row>
    <row r="42" spans="2:8" x14ac:dyDescent="0.25">
      <c r="B42">
        <f>(CSV_Import!F40-CSV_Import!$F$2)/1000</f>
        <v>7.6</v>
      </c>
      <c r="D42">
        <f>ROUND(TAN(RADIANS(CSV_Import!A40))*((Auswertung!$C$8*100)/2-Auswertung!$C$9),3)</f>
        <v>-0.45100000000000001</v>
      </c>
      <c r="E42">
        <f>ROUND(TAN(RADIANS(CSV_Import!Q40))*((Auswertung!$C$8/2)*100-Auswertung!$C$9),3)</f>
        <v>-0.64600000000000002</v>
      </c>
      <c r="G42">
        <f>(CSV_Import!M40-CSV_Import!$M$2)</f>
        <v>-9.0000000000003411E-2</v>
      </c>
      <c r="H42">
        <f>(CSV_Import!AC40-CSV_Import!$AC$2)</f>
        <v>-3.9999999999992042E-2</v>
      </c>
    </row>
    <row r="43" spans="2:8" x14ac:dyDescent="0.25">
      <c r="B43">
        <f>(CSV_Import!F41-CSV_Import!$F$2)/1000</f>
        <v>7.8</v>
      </c>
      <c r="D43">
        <f>ROUND(TAN(RADIANS(CSV_Import!A41))*((Auswertung!$C$8*100)/2-Auswertung!$C$9),3)</f>
        <v>-0.315</v>
      </c>
      <c r="E43">
        <f>ROUND(TAN(RADIANS(CSV_Import!Q41))*((Auswertung!$C$8/2)*100-Auswertung!$C$9),3)</f>
        <v>-0.43099999999999999</v>
      </c>
      <c r="G43">
        <f>(CSV_Import!M41-CSV_Import!$M$2)</f>
        <v>0.16999999999998749</v>
      </c>
      <c r="H43">
        <f>(CSV_Import!AC41-CSV_Import!$AC$2)</f>
        <v>8.0000000000012506E-2</v>
      </c>
    </row>
    <row r="44" spans="2:8" x14ac:dyDescent="0.25">
      <c r="B44">
        <f>(CSV_Import!F42-CSV_Import!$F$2)/1000</f>
        <v>8</v>
      </c>
      <c r="D44">
        <f>ROUND(TAN(RADIANS(CSV_Import!A42))*((Auswertung!$C$8*100)/2-Auswertung!$C$9),3)</f>
        <v>-0.39400000000000002</v>
      </c>
      <c r="E44">
        <f>ROUND(TAN(RADIANS(CSV_Import!Q42))*((Auswertung!$C$8/2)*100-Auswertung!$C$9),3)</f>
        <v>-0.36199999999999999</v>
      </c>
      <c r="G44">
        <f>(CSV_Import!M42-CSV_Import!$M$2)</f>
        <v>0.27999999999997272</v>
      </c>
      <c r="H44">
        <f>(CSV_Import!AC42-CSV_Import!$AC$2)</f>
        <v>9.9999999999994316E-2</v>
      </c>
    </row>
    <row r="45" spans="2:8" x14ac:dyDescent="0.25">
      <c r="B45">
        <f>(CSV_Import!F43-CSV_Import!$F$2)/1000</f>
        <v>8.1999999999999993</v>
      </c>
      <c r="D45">
        <f>ROUND(TAN(RADIANS(CSV_Import!A43))*((Auswertung!$C$8*100)/2-Auswertung!$C$9),3)</f>
        <v>-0.52</v>
      </c>
      <c r="E45">
        <f>ROUND(TAN(RADIANS(CSV_Import!Q43))*((Auswertung!$C$8/2)*100-Auswertung!$C$9),3)</f>
        <v>-0.56000000000000005</v>
      </c>
      <c r="G45">
        <f>(CSV_Import!M43-CSV_Import!$M$2)</f>
        <v>-0.20000000000001705</v>
      </c>
      <c r="H45">
        <f>(CSV_Import!AC43-CSV_Import!$AC$2)</f>
        <v>-9.9999999999994316E-2</v>
      </c>
    </row>
    <row r="46" spans="2:8" x14ac:dyDescent="0.25">
      <c r="B46">
        <f>(CSV_Import!F44-CSV_Import!$F$2)/1000</f>
        <v>8.4</v>
      </c>
      <c r="D46">
        <f>ROUND(TAN(RADIANS(CSV_Import!A44))*((Auswertung!$C$8*100)/2-Auswertung!$C$9),3)</f>
        <v>-0.248</v>
      </c>
      <c r="E46">
        <f>ROUND(TAN(RADIANS(CSV_Import!Q44))*((Auswertung!$C$8/2)*100-Auswertung!$C$9),3)</f>
        <v>-0.503</v>
      </c>
      <c r="G46">
        <f>(CSV_Import!M44-CSV_Import!$M$2)</f>
        <v>0.32999999999998408</v>
      </c>
      <c r="H46">
        <f>(CSV_Import!AC44-CSV_Import!$AC$2)</f>
        <v>5.0000000000011369E-2</v>
      </c>
    </row>
    <row r="47" spans="2:8" x14ac:dyDescent="0.25">
      <c r="B47">
        <f>(CSV_Import!F45-CSV_Import!$F$2)/1000</f>
        <v>8.6</v>
      </c>
      <c r="D47">
        <f>ROUND(TAN(RADIANS(CSV_Import!A45))*((Auswertung!$C$8*100)/2-Auswertung!$C$9),3)</f>
        <v>0.45600000000000002</v>
      </c>
      <c r="E47">
        <f>ROUND(TAN(RADIANS(CSV_Import!Q45))*((Auswertung!$C$8/2)*100-Auswertung!$C$9),3)</f>
        <v>-1.02</v>
      </c>
      <c r="G47">
        <f>(CSV_Import!M45-CSV_Import!$M$2)</f>
        <v>2.9999999999972715E-2</v>
      </c>
      <c r="H47">
        <f>(CSV_Import!AC45-CSV_Import!$AC$2)</f>
        <v>-0.47999999999998977</v>
      </c>
    </row>
    <row r="48" spans="2:8" x14ac:dyDescent="0.25">
      <c r="B48">
        <f>(CSV_Import!F46-CSV_Import!$F$2)/1000</f>
        <v>8.8000000000000007</v>
      </c>
      <c r="D48">
        <f>ROUND(TAN(RADIANS(CSV_Import!A46))*((Auswertung!$C$8*100)/2-Auswertung!$C$9),3)</f>
        <v>1.6719999999999999</v>
      </c>
      <c r="E48">
        <f>ROUND(TAN(RADIANS(CSV_Import!Q46))*((Auswertung!$C$8/2)*100-Auswertung!$C$9),3)</f>
        <v>-2.0449999999999999</v>
      </c>
      <c r="G48">
        <f>(CSV_Import!M46-CSV_Import!$M$2)</f>
        <v>0.75</v>
      </c>
      <c r="H48">
        <f>(CSV_Import!AC46-CSV_Import!$AC$2)</f>
        <v>0.15000000000000568</v>
      </c>
    </row>
    <row r="49" spans="2:8" x14ac:dyDescent="0.25">
      <c r="B49">
        <f>(CSV_Import!F47-CSV_Import!$F$2)/1000</f>
        <v>9</v>
      </c>
      <c r="D49">
        <f>ROUND(TAN(RADIANS(CSV_Import!A47))*((Auswertung!$C$8*100)/2-Auswertung!$C$9),3)</f>
        <v>1.0249999999999999</v>
      </c>
      <c r="E49">
        <f>ROUND(TAN(RADIANS(CSV_Import!Q47))*((Auswertung!$C$8/2)*100-Auswertung!$C$9),3)</f>
        <v>-1.252</v>
      </c>
      <c r="G49">
        <f>(CSV_Import!M47-CSV_Import!$M$2)</f>
        <v>-5.0000000000011369E-2</v>
      </c>
      <c r="H49">
        <f>(CSV_Import!AC47-CSV_Import!$AC$2)</f>
        <v>-0.43999999999999773</v>
      </c>
    </row>
    <row r="50" spans="2:8" x14ac:dyDescent="0.25">
      <c r="B50">
        <f>(CSV_Import!F48-CSV_Import!$F$2)/1000</f>
        <v>9.1999999999999993</v>
      </c>
      <c r="D50">
        <f>ROUND(TAN(RADIANS(CSV_Import!A48))*((Auswertung!$C$8*100)/2-Auswertung!$C$9),3)</f>
        <v>9.4</v>
      </c>
      <c r="E50">
        <f>ROUND(TAN(RADIANS(CSV_Import!Q48))*((Auswertung!$C$8/2)*100-Auswertung!$C$9),3)</f>
        <v>-8.7230000000000008</v>
      </c>
      <c r="G50">
        <f>(CSV_Import!M48-CSV_Import!$M$2)</f>
        <v>-1.9000000000000057</v>
      </c>
      <c r="H50">
        <f>(CSV_Import!AC48-CSV_Import!$AC$2)</f>
        <v>-1.8199999999999932</v>
      </c>
    </row>
    <row r="51" spans="2:8" x14ac:dyDescent="0.25">
      <c r="B51">
        <f>(CSV_Import!F49-CSV_Import!$F$2)/1000</f>
        <v>9.4</v>
      </c>
      <c r="D51">
        <f>ROUND(TAN(RADIANS(CSV_Import!A49))*((Auswertung!$C$8*100)/2-Auswertung!$C$9),3)</f>
        <v>17.382999999999999</v>
      </c>
      <c r="E51">
        <f>ROUND(TAN(RADIANS(CSV_Import!Q49))*((Auswertung!$C$8/2)*100-Auswertung!$C$9),3)</f>
        <v>-16.199000000000002</v>
      </c>
      <c r="G51">
        <f>(CSV_Import!M49-CSV_Import!$M$2)</f>
        <v>-2.8500000000000227</v>
      </c>
      <c r="H51">
        <f>(CSV_Import!AC49-CSV_Import!$AC$2)</f>
        <v>-2.2099999999999795</v>
      </c>
    </row>
    <row r="52" spans="2:8" x14ac:dyDescent="0.25">
      <c r="B52">
        <f>(CSV_Import!F50-CSV_Import!$F$2)/1000</f>
        <v>9.6</v>
      </c>
      <c r="D52">
        <f>ROUND(TAN(RADIANS(CSV_Import!A50))*((Auswertung!$C$8*100)/2-Auswertung!$C$9),3)</f>
        <v>22.594999999999999</v>
      </c>
      <c r="E52">
        <f>ROUND(TAN(RADIANS(CSV_Import!Q50))*((Auswertung!$C$8/2)*100-Auswertung!$C$9),3)</f>
        <v>-24.901</v>
      </c>
      <c r="G52">
        <f>(CSV_Import!M50-CSV_Import!$M$2)</f>
        <v>-4.6200000000000045</v>
      </c>
      <c r="H52">
        <f>(CSV_Import!AC50-CSV_Import!$AC$2)</f>
        <v>-4.2399999999999807</v>
      </c>
    </row>
    <row r="53" spans="2:8" x14ac:dyDescent="0.25">
      <c r="B53">
        <f>(CSV_Import!F51-CSV_Import!$F$2)/1000</f>
        <v>9.8000000000000007</v>
      </c>
      <c r="D53">
        <f>ROUND(TAN(RADIANS(CSV_Import!A51))*((Auswertung!$C$8*100)/2-Auswertung!$C$9),3)</f>
        <v>18.885999999999999</v>
      </c>
      <c r="E53">
        <f>ROUND(TAN(RADIANS(CSV_Import!Q51))*((Auswertung!$C$8/2)*100-Auswertung!$C$9),3)</f>
        <v>-18.782</v>
      </c>
      <c r="G53">
        <f>(CSV_Import!M51-CSV_Import!$M$2)</f>
        <v>-0.5</v>
      </c>
      <c r="H53">
        <f>(CSV_Import!AC51-CSV_Import!$AC$2)</f>
        <v>1.9800000000000182</v>
      </c>
    </row>
    <row r="54" spans="2:8" x14ac:dyDescent="0.25">
      <c r="B54">
        <f>(CSV_Import!F52-CSV_Import!$F$2)/1000</f>
        <v>10</v>
      </c>
      <c r="D54">
        <f>ROUND(TAN(RADIANS(CSV_Import!A52))*((Auswertung!$C$8*100)/2-Auswertung!$C$9),3)</f>
        <v>4.7530000000000001</v>
      </c>
      <c r="E54">
        <f>ROUND(TAN(RADIANS(CSV_Import!Q52))*((Auswertung!$C$8/2)*100-Auswertung!$C$9),3)</f>
        <v>-5.5549999999999997</v>
      </c>
      <c r="G54">
        <f>(CSV_Import!M52-CSV_Import!$M$2)</f>
        <v>-4.9300000000000068</v>
      </c>
      <c r="H54">
        <f>(CSV_Import!AC52-CSV_Import!$AC$2)</f>
        <v>2.3700000000000045</v>
      </c>
    </row>
    <row r="55" spans="2:8" x14ac:dyDescent="0.25">
      <c r="B55">
        <f>(CSV_Import!F53-CSV_Import!$F$2)/1000</f>
        <v>10.199999999999999</v>
      </c>
      <c r="D55">
        <f>ROUND(TAN(RADIANS(CSV_Import!A53))*((Auswertung!$C$8*100)/2-Auswertung!$C$9),3)</f>
        <v>-6.6760000000000002</v>
      </c>
      <c r="E55">
        <f>ROUND(TAN(RADIANS(CSV_Import!Q53))*((Auswertung!$C$8/2)*100-Auswertung!$C$9),3)</f>
        <v>11.036</v>
      </c>
      <c r="G55">
        <f>(CSV_Import!M53-CSV_Import!$M$2)</f>
        <v>-10.890000000000015</v>
      </c>
      <c r="H55">
        <f>(CSV_Import!AC53-CSV_Import!$AC$2)</f>
        <v>5.8799999999999955</v>
      </c>
    </row>
    <row r="56" spans="2:8" x14ac:dyDescent="0.25">
      <c r="B56">
        <f>(CSV_Import!F54-CSV_Import!$F$2)/1000</f>
        <v>10.4</v>
      </c>
      <c r="D56">
        <f>ROUND(TAN(RADIANS(CSV_Import!A54))*((Auswertung!$C$8*100)/2-Auswertung!$C$9),3)</f>
        <v>-5.726</v>
      </c>
      <c r="E56">
        <f>ROUND(TAN(RADIANS(CSV_Import!Q54))*((Auswertung!$C$8/2)*100-Auswertung!$C$9),3)</f>
        <v>12.95</v>
      </c>
      <c r="G56">
        <f>(CSV_Import!M54-CSV_Import!$M$2)</f>
        <v>-11.230000000000018</v>
      </c>
      <c r="H56">
        <f>(CSV_Import!AC54-CSV_Import!$AC$2)</f>
        <v>13.560000000000002</v>
      </c>
    </row>
    <row r="57" spans="2:8" x14ac:dyDescent="0.25">
      <c r="B57">
        <f>(CSV_Import!F55-CSV_Import!$F$2)/1000</f>
        <v>10.6</v>
      </c>
      <c r="D57">
        <f>ROUND(TAN(RADIANS(CSV_Import!A55))*((Auswertung!$C$8*100)/2-Auswertung!$C$9),3)</f>
        <v>3.1179999999999999</v>
      </c>
      <c r="E57">
        <f>ROUND(TAN(RADIANS(CSV_Import!Q55))*((Auswertung!$C$8/2)*100-Auswertung!$C$9),3)</f>
        <v>10.118</v>
      </c>
      <c r="G57">
        <f>(CSV_Import!M55-CSV_Import!$M$2)</f>
        <v>-14.340000000000003</v>
      </c>
      <c r="H57">
        <f>(CSV_Import!AC55-CSV_Import!$AC$2)</f>
        <v>18.28</v>
      </c>
    </row>
    <row r="58" spans="2:8" x14ac:dyDescent="0.25">
      <c r="B58">
        <f>(CSV_Import!F56-CSV_Import!$F$2)/1000</f>
        <v>10.8</v>
      </c>
      <c r="D58">
        <f>ROUND(TAN(RADIANS(CSV_Import!A56))*((Auswertung!$C$8*100)/2-Auswertung!$C$9),3)</f>
        <v>15.842000000000001</v>
      </c>
      <c r="E58">
        <f>ROUND(TAN(RADIANS(CSV_Import!Q56))*((Auswertung!$C$8/2)*100-Auswertung!$C$9),3)</f>
        <v>1.286</v>
      </c>
      <c r="G58">
        <f>(CSV_Import!M56-CSV_Import!$M$2)</f>
        <v>-17.700000000000017</v>
      </c>
      <c r="H58">
        <f>(CSV_Import!AC56-CSV_Import!$AC$2)</f>
        <v>23.050000000000011</v>
      </c>
    </row>
    <row r="59" spans="2:8" x14ac:dyDescent="0.25">
      <c r="B59">
        <f>(CSV_Import!F57-CSV_Import!$F$2)/1000</f>
        <v>11</v>
      </c>
      <c r="D59">
        <f>ROUND(TAN(RADIANS(CSV_Import!A57))*((Auswertung!$C$8*100)/2-Auswertung!$C$9),3)</f>
        <v>18.587</v>
      </c>
      <c r="E59">
        <f>ROUND(TAN(RADIANS(CSV_Import!Q57))*((Auswertung!$C$8/2)*100-Auswertung!$C$9),3)</f>
        <v>0.97499999999999998</v>
      </c>
      <c r="G59">
        <f>(CSV_Import!M57-CSV_Import!$M$2)</f>
        <v>-22.070000000000022</v>
      </c>
      <c r="H59">
        <f>(CSV_Import!AC57-CSV_Import!$AC$2)</f>
        <v>25.590000000000003</v>
      </c>
    </row>
    <row r="60" spans="2:8" x14ac:dyDescent="0.25">
      <c r="B60">
        <f>(CSV_Import!F58-CSV_Import!$F$2)/1000</f>
        <v>11.2</v>
      </c>
      <c r="D60">
        <f>ROUND(TAN(RADIANS(CSV_Import!A58))*((Auswertung!$C$8*100)/2-Auswertung!$C$9),3)</f>
        <v>12.663</v>
      </c>
      <c r="E60">
        <f>ROUND(TAN(RADIANS(CSV_Import!Q58))*((Auswertung!$C$8/2)*100-Auswertung!$C$9),3)</f>
        <v>6.3810000000000002</v>
      </c>
      <c r="G60">
        <f>(CSV_Import!M58-CSV_Import!$M$2)</f>
        <v>-25.79000000000002</v>
      </c>
      <c r="H60">
        <f>(CSV_Import!AC58-CSV_Import!$AC$2)</f>
        <v>31.430000000000007</v>
      </c>
    </row>
    <row r="61" spans="2:8" x14ac:dyDescent="0.25">
      <c r="B61">
        <f>(CSV_Import!F59-CSV_Import!$F$2)/1000</f>
        <v>11.4</v>
      </c>
      <c r="D61">
        <f>ROUND(TAN(RADIANS(CSV_Import!A59))*((Auswertung!$C$8*100)/2-Auswertung!$C$9),3)</f>
        <v>7.6840000000000002</v>
      </c>
      <c r="E61">
        <f>ROUND(TAN(RADIANS(CSV_Import!Q59))*((Auswertung!$C$8/2)*100-Auswertung!$C$9),3)</f>
        <v>15.733000000000001</v>
      </c>
      <c r="G61">
        <f>(CSV_Import!M59-CSV_Import!$M$2)</f>
        <v>-30.180000000000007</v>
      </c>
      <c r="H61">
        <f>(CSV_Import!AC59-CSV_Import!$AC$2)</f>
        <v>32.260000000000019</v>
      </c>
    </row>
    <row r="62" spans="2:8" x14ac:dyDescent="0.25">
      <c r="B62">
        <f>(CSV_Import!F60-CSV_Import!$F$2)/1000</f>
        <v>11.6</v>
      </c>
      <c r="D62">
        <f>ROUND(TAN(RADIANS(CSV_Import!A60))*((Auswertung!$C$8*100)/2-Auswertung!$C$9),3)</f>
        <v>11.337999999999999</v>
      </c>
      <c r="E62">
        <f>ROUND(TAN(RADIANS(CSV_Import!Q60))*((Auswertung!$C$8/2)*100-Auswertung!$C$9),3)</f>
        <v>21.280999999999999</v>
      </c>
      <c r="G62">
        <f>(CSV_Import!M60-CSV_Import!$M$2)</f>
        <v>-31.920000000000016</v>
      </c>
      <c r="H62">
        <f>(CSV_Import!AC60-CSV_Import!$AC$2)</f>
        <v>37.129999999999995</v>
      </c>
    </row>
    <row r="63" spans="2:8" x14ac:dyDescent="0.25">
      <c r="B63">
        <f>(CSV_Import!F61-CSV_Import!$F$2)/1000</f>
        <v>12.2</v>
      </c>
      <c r="D63">
        <f>ROUND(TAN(RADIANS(CSV_Import!A61))*((Auswertung!$C$8*100)/2-Auswertung!$C$9),3)</f>
        <v>14.754</v>
      </c>
      <c r="E63">
        <f>ROUND(TAN(RADIANS(CSV_Import!Q61))*((Auswertung!$C$8/2)*100-Auswertung!$C$9),3)</f>
        <v>0.41</v>
      </c>
      <c r="G63">
        <f>(CSV_Import!M61-CSV_Import!$M$2)</f>
        <v>-34.560000000000016</v>
      </c>
      <c r="H63">
        <f>(CSV_Import!AC61-CSV_Import!$AC$2)</f>
        <v>49.510000000000019</v>
      </c>
    </row>
    <row r="64" spans="2:8" x14ac:dyDescent="0.25">
      <c r="B64">
        <f>(CSV_Import!F62-CSV_Import!$F$2)/1000</f>
        <v>12.4</v>
      </c>
      <c r="D64">
        <f>ROUND(TAN(RADIANS(CSV_Import!A62))*((Auswertung!$C$8*100)/2-Auswertung!$C$9),3)</f>
        <v>9.1219999999999999</v>
      </c>
      <c r="E64">
        <f>ROUND(TAN(RADIANS(CSV_Import!Q62))*((Auswertung!$C$8/2)*100-Auswertung!$C$9),3)</f>
        <v>2.1000000000000001E-2</v>
      </c>
      <c r="G64">
        <f>(CSV_Import!M62-CSV_Import!$M$2)</f>
        <v>-40.060000000000016</v>
      </c>
      <c r="H64">
        <f>(CSV_Import!AC62-CSV_Import!$AC$2)</f>
        <v>46.010000000000019</v>
      </c>
    </row>
    <row r="65" spans="2:8" x14ac:dyDescent="0.25">
      <c r="B65">
        <f>(CSV_Import!F63-CSV_Import!$F$2)/1000</f>
        <v>12.6</v>
      </c>
      <c r="D65">
        <f>ROUND(TAN(RADIANS(CSV_Import!A63))*((Auswertung!$C$8*100)/2-Auswertung!$C$9),3)</f>
        <v>1.3520000000000001</v>
      </c>
      <c r="E65">
        <f>ROUND(TAN(RADIANS(CSV_Import!Q63))*((Auswertung!$C$8/2)*100-Auswertung!$C$9),3)</f>
        <v>9.4870000000000001</v>
      </c>
      <c r="G65">
        <f>(CSV_Import!M63-CSV_Import!$M$2)</f>
        <v>-39.510000000000019</v>
      </c>
      <c r="H65">
        <f>(CSV_Import!AC63-CSV_Import!$AC$2)</f>
        <v>49.920000000000016</v>
      </c>
    </row>
    <row r="66" spans="2:8" x14ac:dyDescent="0.25">
      <c r="B66">
        <f>(CSV_Import!F64-CSV_Import!$F$2)/1000</f>
        <v>12.8</v>
      </c>
      <c r="D66">
        <f>ROUND(TAN(RADIANS(CSV_Import!A64))*((Auswertung!$C$8*100)/2-Auswertung!$C$9),3)</f>
        <v>0.90700000000000003</v>
      </c>
      <c r="E66">
        <f>ROUND(TAN(RADIANS(CSV_Import!Q64))*((Auswertung!$C$8/2)*100-Auswertung!$C$9),3)</f>
        <v>12.952</v>
      </c>
      <c r="G66">
        <f>(CSV_Import!M64-CSV_Import!$M$2)</f>
        <v>-43.640000000000015</v>
      </c>
      <c r="H66">
        <f>(CSV_Import!AC64-CSV_Import!$AC$2)</f>
        <v>47.879999999999995</v>
      </c>
    </row>
    <row r="67" spans="2:8" x14ac:dyDescent="0.25">
      <c r="B67">
        <f>(CSV_Import!F65-CSV_Import!$F$2)/1000</f>
        <v>13</v>
      </c>
      <c r="D67">
        <f>ROUND(TAN(RADIANS(CSV_Import!A65))*((Auswertung!$C$8*100)/2-Auswertung!$C$9),3)</f>
        <v>-0.53200000000000003</v>
      </c>
      <c r="E67">
        <f>ROUND(TAN(RADIANS(CSV_Import!Q65))*((Auswertung!$C$8/2)*100-Auswertung!$C$9),3)</f>
        <v>3.3620000000000001</v>
      </c>
      <c r="G67">
        <f>(CSV_Import!M65-CSV_Import!$M$2)</f>
        <v>-42.27000000000001</v>
      </c>
      <c r="H67">
        <f>(CSV_Import!AC65-CSV_Import!$AC$2)</f>
        <v>47.740000000000009</v>
      </c>
    </row>
    <row r="68" spans="2:8" x14ac:dyDescent="0.25">
      <c r="B68">
        <f>(CSV_Import!F66-CSV_Import!$F$2)/1000</f>
        <v>13.2</v>
      </c>
      <c r="D68">
        <f>ROUND(TAN(RADIANS(CSV_Import!A66))*((Auswertung!$C$8*100)/2-Auswertung!$C$9),3)</f>
        <v>7.266</v>
      </c>
      <c r="E68">
        <f>ROUND(TAN(RADIANS(CSV_Import!Q66))*((Auswertung!$C$8/2)*100-Auswertung!$C$9),3)</f>
        <v>3.081</v>
      </c>
      <c r="G68">
        <f>(CSV_Import!M66-CSV_Import!$M$2)</f>
        <v>-40.780000000000015</v>
      </c>
      <c r="H68">
        <f>(CSV_Import!AC66-CSV_Import!$AC$2)</f>
        <v>53.879999999999995</v>
      </c>
    </row>
    <row r="69" spans="2:8" x14ac:dyDescent="0.25">
      <c r="B69">
        <f>(CSV_Import!F67-CSV_Import!$F$2)/1000</f>
        <v>13.4</v>
      </c>
      <c r="D69">
        <f>ROUND(TAN(RADIANS(CSV_Import!A67))*((Auswertung!$C$8*100)/2-Auswertung!$C$9),3)</f>
        <v>11.656000000000001</v>
      </c>
      <c r="E69">
        <f>ROUND(TAN(RADIANS(CSV_Import!Q67))*((Auswertung!$C$8/2)*100-Auswertung!$C$9),3)</f>
        <v>-1.5449999999999999</v>
      </c>
      <c r="G69">
        <f>(CSV_Import!M67-CSV_Import!$M$2)</f>
        <v>-43.02000000000001</v>
      </c>
      <c r="H69">
        <f>(CSV_Import!AC67-CSV_Import!$AC$2)</f>
        <v>53.990000000000009</v>
      </c>
    </row>
    <row r="70" spans="2:8" x14ac:dyDescent="0.25">
      <c r="B70">
        <f>(CSV_Import!F68-CSV_Import!$F$2)/1000</f>
        <v>13.6</v>
      </c>
      <c r="D70">
        <f>ROUND(TAN(RADIANS(CSV_Import!A68))*((Auswertung!$C$8*100)/2-Auswertung!$C$9),3)</f>
        <v>6.19</v>
      </c>
      <c r="E70">
        <f>ROUND(TAN(RADIANS(CSV_Import!Q68))*((Auswertung!$C$8/2)*100-Auswertung!$C$9),3)</f>
        <v>1.633</v>
      </c>
      <c r="G70">
        <f>(CSV_Import!M68-CSV_Import!$M$2)</f>
        <v>-43.480000000000018</v>
      </c>
      <c r="H70">
        <f>(CSV_Import!AC68-CSV_Import!$AC$2)</f>
        <v>55</v>
      </c>
    </row>
    <row r="71" spans="2:8" x14ac:dyDescent="0.25">
      <c r="B71">
        <f>(CSV_Import!F69-CSV_Import!$F$2)/1000</f>
        <v>13.8</v>
      </c>
      <c r="D71">
        <f>ROUND(TAN(RADIANS(CSV_Import!A69))*((Auswertung!$C$8*100)/2-Auswertung!$C$9),3)</f>
        <v>-2.5059999999999998</v>
      </c>
      <c r="E71">
        <f>ROUND(TAN(RADIANS(CSV_Import!Q69))*((Auswertung!$C$8/2)*100-Auswertung!$C$9),3)</f>
        <v>6.0810000000000004</v>
      </c>
      <c r="G71">
        <f>(CSV_Import!M69-CSV_Import!$M$2)</f>
        <v>-47.620000000000019</v>
      </c>
      <c r="H71">
        <f>(CSV_Import!AC69-CSV_Import!$AC$2)</f>
        <v>54.200000000000017</v>
      </c>
    </row>
    <row r="72" spans="2:8" x14ac:dyDescent="0.25">
      <c r="B72">
        <f>(CSV_Import!F70-CSV_Import!$F$2)/1000</f>
        <v>14</v>
      </c>
      <c r="D72">
        <f>ROUND(TAN(RADIANS(CSV_Import!A70))*((Auswertung!$C$8*100)/2-Auswertung!$C$9),3)</f>
        <v>-3.7280000000000002</v>
      </c>
      <c r="E72">
        <f>ROUND(TAN(RADIANS(CSV_Import!Q70))*((Auswertung!$C$8/2)*100-Auswertung!$C$9),3)</f>
        <v>9.5250000000000004</v>
      </c>
      <c r="G72">
        <f>(CSV_Import!M70-CSV_Import!$M$2)</f>
        <v>-48.100000000000009</v>
      </c>
      <c r="H72">
        <f>(CSV_Import!AC70-CSV_Import!$AC$2)</f>
        <v>56.129999999999995</v>
      </c>
    </row>
    <row r="73" spans="2:8" x14ac:dyDescent="0.25">
      <c r="B73">
        <f>(CSV_Import!F71-CSV_Import!$F$2)/1000</f>
        <v>14.2</v>
      </c>
      <c r="D73">
        <f>ROUND(TAN(RADIANS(CSV_Import!A71))*((Auswertung!$C$8*100)/2-Auswertung!$C$9),3)</f>
        <v>0.73499999999999999</v>
      </c>
      <c r="E73">
        <f>ROUND(TAN(RADIANS(CSV_Import!Q71))*((Auswertung!$C$8/2)*100-Auswertung!$C$9),3)</f>
        <v>5.3609999999999998</v>
      </c>
      <c r="G73">
        <f>(CSV_Import!M71-CSV_Import!$M$2)</f>
        <v>-50.500000000000014</v>
      </c>
      <c r="H73">
        <f>(CSV_Import!AC71-CSV_Import!$AC$2)</f>
        <v>53.849999999999994</v>
      </c>
    </row>
    <row r="74" spans="2:8" x14ac:dyDescent="0.25">
      <c r="B74">
        <f>(CSV_Import!F72-CSV_Import!$F$2)/1000</f>
        <v>14.4</v>
      </c>
      <c r="D74">
        <f>ROUND(TAN(RADIANS(CSV_Import!A72))*((Auswertung!$C$8*100)/2-Auswertung!$C$9),3)</f>
        <v>6.76</v>
      </c>
      <c r="E74">
        <f>ROUND(TAN(RADIANS(CSV_Import!Q72))*((Auswertung!$C$8/2)*100-Auswertung!$C$9),3)</f>
        <v>-1.909</v>
      </c>
      <c r="G74">
        <f>(CSV_Import!M72-CSV_Import!$M$2)</f>
        <v>-50.280000000000015</v>
      </c>
      <c r="H74">
        <f>(CSV_Import!AC72-CSV_Import!$AC$2)</f>
        <v>56.570000000000022</v>
      </c>
    </row>
    <row r="75" spans="2:8" x14ac:dyDescent="0.25">
      <c r="B75">
        <f>(CSV_Import!F73-CSV_Import!$F$2)/1000</f>
        <v>14.6</v>
      </c>
      <c r="D75">
        <f>ROUND(TAN(RADIANS(CSV_Import!A73))*((Auswertung!$C$8*100)/2-Auswertung!$C$9),3)</f>
        <v>10.586</v>
      </c>
      <c r="E75">
        <f>ROUND(TAN(RADIANS(CSV_Import!Q73))*((Auswertung!$C$8/2)*100-Auswertung!$C$9),3)</f>
        <v>-4.6319999999999997</v>
      </c>
      <c r="G75">
        <f>(CSV_Import!M73-CSV_Import!$M$2)</f>
        <v>-49.280000000000015</v>
      </c>
      <c r="H75">
        <f>(CSV_Import!AC73-CSV_Import!$AC$2)</f>
        <v>56.920000000000016</v>
      </c>
    </row>
    <row r="76" spans="2:8" x14ac:dyDescent="0.25">
      <c r="B76">
        <f>(CSV_Import!F74-CSV_Import!$F$2)/1000</f>
        <v>14.8</v>
      </c>
      <c r="D76">
        <f>ROUND(TAN(RADIANS(CSV_Import!A74))*((Auswertung!$C$8*100)/2-Auswertung!$C$9),3)</f>
        <v>7.7350000000000003</v>
      </c>
      <c r="E76">
        <f>ROUND(TAN(RADIANS(CSV_Import!Q74))*((Auswertung!$C$8/2)*100-Auswertung!$C$9),3)</f>
        <v>0.57899999999999996</v>
      </c>
      <c r="G76">
        <f>(CSV_Import!M74-CSV_Import!$M$2)</f>
        <v>-52.690000000000012</v>
      </c>
      <c r="H76">
        <f>(CSV_Import!AC74-CSV_Import!$AC$2)</f>
        <v>53.81</v>
      </c>
    </row>
    <row r="77" spans="2:8" x14ac:dyDescent="0.25">
      <c r="B77">
        <f>(CSV_Import!F75-CSV_Import!$F$2)/1000</f>
        <v>15</v>
      </c>
      <c r="D77">
        <f>ROUND(TAN(RADIANS(CSV_Import!A75))*((Auswertung!$C$8*100)/2-Auswertung!$C$9),3)</f>
        <v>-2.17</v>
      </c>
      <c r="E77">
        <f>ROUND(TAN(RADIANS(CSV_Import!Q75))*((Auswertung!$C$8/2)*100-Auswertung!$C$9),3)</f>
        <v>7.3529999999999998</v>
      </c>
      <c r="G77">
        <f>(CSV_Import!M75-CSV_Import!$M$2)</f>
        <v>-50.890000000000015</v>
      </c>
      <c r="H77">
        <f>(CSV_Import!AC75-CSV_Import!$AC$2)</f>
        <v>56.860000000000014</v>
      </c>
    </row>
    <row r="78" spans="2:8" x14ac:dyDescent="0.25">
      <c r="B78">
        <f>(CSV_Import!F76-CSV_Import!$F$2)/1000</f>
        <v>15.2</v>
      </c>
      <c r="D78">
        <f>ROUND(TAN(RADIANS(CSV_Import!A76))*((Auswertung!$C$8*100)/2-Auswertung!$C$9),3)</f>
        <v>-4.4249999999999998</v>
      </c>
      <c r="E78">
        <f>ROUND(TAN(RADIANS(CSV_Import!Q76))*((Auswertung!$C$8/2)*100-Auswertung!$C$9),3)</f>
        <v>-2.6960000000000002</v>
      </c>
      <c r="G78">
        <f>(CSV_Import!M76-CSV_Import!$M$2)</f>
        <v>-53.180000000000007</v>
      </c>
      <c r="H78">
        <f>(CSV_Import!AC76-CSV_Import!$AC$2)</f>
        <v>53.050000000000011</v>
      </c>
    </row>
    <row r="79" spans="2:8" x14ac:dyDescent="0.25">
      <c r="B79">
        <f>(CSV_Import!F77-CSV_Import!$F$2)/1000</f>
        <v>15.4</v>
      </c>
      <c r="D79">
        <f>ROUND(TAN(RADIANS(CSV_Import!A77))*((Auswertung!$C$8*100)/2-Auswertung!$C$9),3)</f>
        <v>-2.1459999999999999</v>
      </c>
      <c r="E79">
        <f>ROUND(TAN(RADIANS(CSV_Import!Q77))*((Auswertung!$C$8/2)*100-Auswertung!$C$9),3)</f>
        <v>0.61799999999999999</v>
      </c>
      <c r="G79">
        <f>(CSV_Import!M77-CSV_Import!$M$2)</f>
        <v>-49.100000000000009</v>
      </c>
      <c r="H79">
        <f>(CSV_Import!AC77-CSV_Import!$AC$2)</f>
        <v>54.920000000000016</v>
      </c>
    </row>
    <row r="80" spans="2:8" x14ac:dyDescent="0.25">
      <c r="B80">
        <f>(CSV_Import!F78-CSV_Import!$F$2)/1000</f>
        <v>15.6</v>
      </c>
      <c r="D80">
        <f>ROUND(TAN(RADIANS(CSV_Import!A78))*((Auswertung!$C$8*100)/2-Auswertung!$C$9),3)</f>
        <v>-1.7749999999999999</v>
      </c>
      <c r="E80">
        <f>ROUND(TAN(RADIANS(CSV_Import!Q78))*((Auswertung!$C$8/2)*100-Auswertung!$C$9),3)</f>
        <v>-12.769</v>
      </c>
      <c r="G80">
        <f>(CSV_Import!M78-CSV_Import!$M$2)</f>
        <v>-49.760000000000019</v>
      </c>
      <c r="H80">
        <f>(CSV_Import!AC78-CSV_Import!$AC$2)</f>
        <v>49.56</v>
      </c>
    </row>
    <row r="81" spans="2:8" x14ac:dyDescent="0.25">
      <c r="B81">
        <f>(CSV_Import!F79-CSV_Import!$F$2)/1000</f>
        <v>15.8</v>
      </c>
      <c r="D81">
        <f>ROUND(TAN(RADIANS(CSV_Import!A79))*((Auswertung!$C$8*100)/2-Auswertung!$C$9),3)</f>
        <v>-6.4589999999999996</v>
      </c>
      <c r="E81">
        <f>ROUND(TAN(RADIANS(CSV_Import!Q79))*((Auswertung!$C$8/2)*100-Auswertung!$C$9),3)</f>
        <v>-15.244999999999999</v>
      </c>
      <c r="G81">
        <f>(CSV_Import!M79-CSV_Import!$M$2)</f>
        <v>-47.430000000000007</v>
      </c>
      <c r="H81">
        <f>(CSV_Import!AC79-CSV_Import!$AC$2)</f>
        <v>47.25</v>
      </c>
    </row>
    <row r="82" spans="2:8" x14ac:dyDescent="0.25">
      <c r="B82">
        <f>(CSV_Import!F80-CSV_Import!$F$2)/1000</f>
        <v>16</v>
      </c>
      <c r="D82">
        <f>ROUND(TAN(RADIANS(CSV_Import!A80))*((Auswertung!$C$8*100)/2-Auswertung!$C$9),3)</f>
        <v>-12.035</v>
      </c>
      <c r="E82">
        <f>ROUND(TAN(RADIANS(CSV_Import!Q80))*((Auswertung!$C$8/2)*100-Auswertung!$C$9),3)</f>
        <v>-12.715999999999999</v>
      </c>
      <c r="G82">
        <f>(CSV_Import!M80-CSV_Import!$M$2)</f>
        <v>-44.050000000000011</v>
      </c>
      <c r="H82">
        <f>(CSV_Import!AC80-CSV_Import!$AC$2)</f>
        <v>44.070000000000022</v>
      </c>
    </row>
    <row r="83" spans="2:8" x14ac:dyDescent="0.25">
      <c r="B83">
        <f>(CSV_Import!F81-CSV_Import!$F$2)/1000</f>
        <v>16.2</v>
      </c>
      <c r="D83">
        <f>ROUND(TAN(RADIANS(CSV_Import!A81))*((Auswertung!$C$8*100)/2-Auswertung!$C$9),3)</f>
        <v>-16.696000000000002</v>
      </c>
      <c r="E83">
        <f>ROUND(TAN(RADIANS(CSV_Import!Q81))*((Auswertung!$C$8/2)*100-Auswertung!$C$9),3)</f>
        <v>-14.036</v>
      </c>
      <c r="G83">
        <f>(CSV_Import!M81-CSV_Import!$M$2)</f>
        <v>-40.02000000000001</v>
      </c>
      <c r="H83">
        <f>(CSV_Import!AC81-CSV_Import!$AC$2)</f>
        <v>37.870000000000005</v>
      </c>
    </row>
    <row r="84" spans="2:8" x14ac:dyDescent="0.25">
      <c r="B84">
        <f>(CSV_Import!F82-CSV_Import!$F$2)/1000</f>
        <v>16.399999999999999</v>
      </c>
      <c r="D84">
        <f>ROUND(TAN(RADIANS(CSV_Import!A82))*((Auswertung!$C$8*100)/2-Auswertung!$C$9),3)</f>
        <v>-21.972000000000001</v>
      </c>
      <c r="E84">
        <f>ROUND(TAN(RADIANS(CSV_Import!Q82))*((Auswertung!$C$8/2)*100-Auswertung!$C$9),3)</f>
        <v>-6.6840000000000002</v>
      </c>
      <c r="G84">
        <f>(CSV_Import!M82-CSV_Import!$M$2)</f>
        <v>-34.250000000000014</v>
      </c>
      <c r="H84">
        <f>(CSV_Import!AC82-CSV_Import!$AC$2)</f>
        <v>36.420000000000016</v>
      </c>
    </row>
    <row r="85" spans="2:8" x14ac:dyDescent="0.25">
      <c r="B85">
        <f>(CSV_Import!F83-CSV_Import!$F$2)/1000</f>
        <v>16.600000000000001</v>
      </c>
      <c r="D85">
        <f>ROUND(TAN(RADIANS(CSV_Import!A83))*((Auswertung!$C$8*100)/2-Auswertung!$C$9),3)</f>
        <v>-12.33</v>
      </c>
      <c r="E85">
        <f>ROUND(TAN(RADIANS(CSV_Import!Q83))*((Auswertung!$C$8/2)*100-Auswertung!$C$9),3)</f>
        <v>-9.8689999999999998</v>
      </c>
      <c r="G85">
        <f>(CSV_Import!M83-CSV_Import!$M$2)</f>
        <v>-31.480000000000018</v>
      </c>
      <c r="H85">
        <f>(CSV_Import!AC83-CSV_Import!$AC$2)</f>
        <v>30.580000000000013</v>
      </c>
    </row>
    <row r="86" spans="2:8" x14ac:dyDescent="0.25">
      <c r="B86">
        <f>(CSV_Import!F84-CSV_Import!$F$2)/1000</f>
        <v>18</v>
      </c>
      <c r="D86">
        <f>ROUND(TAN(RADIANS(CSV_Import!A84))*((Auswertung!$C$8*100)/2-Auswertung!$C$9),3)</f>
        <v>9.4090000000000007</v>
      </c>
      <c r="E86">
        <f>ROUND(TAN(RADIANS(CSV_Import!Q84))*((Auswertung!$C$8/2)*100-Auswertung!$C$9),3)</f>
        <v>4.0830000000000002</v>
      </c>
      <c r="G86">
        <f>(CSV_Import!M84-CSV_Import!$M$2)</f>
        <v>-16.700000000000017</v>
      </c>
      <c r="H86">
        <f>(CSV_Import!AC84-CSV_Import!$AC$2)</f>
        <v>10.939999999999998</v>
      </c>
    </row>
    <row r="87" spans="2:8" x14ac:dyDescent="0.25">
      <c r="B87">
        <f>(CSV_Import!F85-CSV_Import!$F$2)/1000</f>
        <v>20</v>
      </c>
      <c r="D87">
        <f>ROUND(TAN(RADIANS(CSV_Import!A85))*((Auswertung!$C$8*100)/2-Auswertung!$C$9),3)</f>
        <v>-13.448</v>
      </c>
      <c r="E87">
        <f>ROUND(TAN(RADIANS(CSV_Import!Q85))*((Auswertung!$C$8/2)*100-Auswertung!$C$9),3)</f>
        <v>-13.504</v>
      </c>
      <c r="G87">
        <f>(CSV_Import!M85-CSV_Import!$M$2)</f>
        <v>-33.77000000000001</v>
      </c>
      <c r="H87">
        <f>(CSV_Import!AC85-CSV_Import!$AC$2)</f>
        <v>24.260000000000019</v>
      </c>
    </row>
    <row r="88" spans="2:8" x14ac:dyDescent="0.25">
      <c r="B88">
        <f>(CSV_Import!F86-CSV_Import!$F$2)/1000</f>
        <v>20.2</v>
      </c>
      <c r="D88">
        <f>ROUND(TAN(RADIANS(CSV_Import!A86))*((Auswertung!$C$8*100)/2-Auswertung!$C$9),3)</f>
        <v>-12.87</v>
      </c>
      <c r="E88">
        <f>ROUND(TAN(RADIANS(CSV_Import!Q86))*((Auswertung!$C$8/2)*100-Auswertung!$C$9),3)</f>
        <v>-20.085000000000001</v>
      </c>
      <c r="G88">
        <f>(CSV_Import!M86-CSV_Import!$M$2)</f>
        <v>-34.90000000000002</v>
      </c>
      <c r="H88">
        <f>(CSV_Import!AC86-CSV_Import!$AC$2)</f>
        <v>24.740000000000009</v>
      </c>
    </row>
    <row r="89" spans="2:8" x14ac:dyDescent="0.25">
      <c r="B89">
        <f>(CSV_Import!F87-CSV_Import!$F$2)/1000</f>
        <v>20.399999999999999</v>
      </c>
      <c r="D89">
        <f>ROUND(TAN(RADIANS(CSV_Import!A87))*((Auswertung!$C$8*100)/2-Auswertung!$C$9),3)</f>
        <v>-9.4369999999999994</v>
      </c>
      <c r="E89">
        <f>ROUND(TAN(RADIANS(CSV_Import!Q87))*((Auswertung!$C$8/2)*100-Auswertung!$C$9),3)</f>
        <v>-14.388999999999999</v>
      </c>
      <c r="G89">
        <f>(CSV_Import!M87-CSV_Import!$M$2)</f>
        <v>-36.460000000000008</v>
      </c>
      <c r="H89">
        <f>(CSV_Import!AC87-CSV_Import!$AC$2)</f>
        <v>25.370000000000005</v>
      </c>
    </row>
    <row r="90" spans="2:8" x14ac:dyDescent="0.25">
      <c r="B90">
        <f>(CSV_Import!F88-CSV_Import!$F$2)/1000</f>
        <v>20.6</v>
      </c>
      <c r="D90">
        <f>ROUND(TAN(RADIANS(CSV_Import!A88))*((Auswertung!$C$8*100)/2-Auswertung!$C$9),3)</f>
        <v>-5.6829999999999998</v>
      </c>
      <c r="E90">
        <f>ROUND(TAN(RADIANS(CSV_Import!Q88))*((Auswertung!$C$8/2)*100-Auswertung!$C$9),3)</f>
        <v>-5.7560000000000002</v>
      </c>
      <c r="G90">
        <f>(CSV_Import!M88-CSV_Import!$M$2)</f>
        <v>-37.220000000000013</v>
      </c>
      <c r="H90">
        <f>(CSV_Import!AC88-CSV_Import!$AC$2)</f>
        <v>26.53</v>
      </c>
    </row>
    <row r="91" spans="2:8" x14ac:dyDescent="0.25">
      <c r="B91">
        <f>(CSV_Import!F89-CSV_Import!$F$2)/1000</f>
        <v>20.8</v>
      </c>
      <c r="D91">
        <f>ROUND(TAN(RADIANS(CSV_Import!A89))*((Auswertung!$C$8*100)/2-Auswertung!$C$9),3)</f>
        <v>-3.8860000000000001</v>
      </c>
      <c r="E91">
        <f>ROUND(TAN(RADIANS(CSV_Import!Q89))*((Auswertung!$C$8/2)*100-Auswertung!$C$9),3)</f>
        <v>-4.2809999999999997</v>
      </c>
      <c r="G91">
        <f>(CSV_Import!M89-CSV_Import!$M$2)</f>
        <v>-37.550000000000011</v>
      </c>
      <c r="H91">
        <f>(CSV_Import!AC89-CSV_Import!$AC$2)</f>
        <v>27.129999999999995</v>
      </c>
    </row>
    <row r="92" spans="2:8" x14ac:dyDescent="0.25">
      <c r="B92">
        <f>(CSV_Import!F90-CSV_Import!$F$2)/1000</f>
        <v>21</v>
      </c>
      <c r="D92">
        <f>ROUND(TAN(RADIANS(CSV_Import!A90))*((Auswertung!$C$8*100)/2-Auswertung!$C$9),3)</f>
        <v>2.3239999999999998</v>
      </c>
      <c r="E92">
        <f>ROUND(TAN(RADIANS(CSV_Import!Q90))*((Auswertung!$C$8/2)*100-Auswertung!$C$9),3)</f>
        <v>3.2080000000000002</v>
      </c>
      <c r="G92">
        <f>(CSV_Import!M90-CSV_Import!$M$2)</f>
        <v>-38.210000000000008</v>
      </c>
      <c r="H92">
        <f>(CSV_Import!AC90-CSV_Import!$AC$2)</f>
        <v>26.599999999999994</v>
      </c>
    </row>
    <row r="93" spans="2:8" x14ac:dyDescent="0.25">
      <c r="B93">
        <f>(CSV_Import!F91-CSV_Import!$F$2)/1000</f>
        <v>21.2</v>
      </c>
      <c r="D93">
        <f>ROUND(TAN(RADIANS(CSV_Import!A91))*((Auswertung!$C$8*100)/2-Auswertung!$C$9),3)</f>
        <v>7.4480000000000004</v>
      </c>
      <c r="E93">
        <f>ROUND(TAN(RADIANS(CSV_Import!Q91))*((Auswertung!$C$8/2)*100-Auswertung!$C$9),3)</f>
        <v>6.1989999999999998</v>
      </c>
      <c r="G93">
        <f>(CSV_Import!M91-CSV_Import!$M$2)</f>
        <v>-38.810000000000016</v>
      </c>
      <c r="H93">
        <f>(CSV_Import!AC91-CSV_Import!$AC$2)</f>
        <v>26.439999999999998</v>
      </c>
    </row>
    <row r="94" spans="2:8" x14ac:dyDescent="0.25">
      <c r="B94">
        <f>(CSV_Import!F92-CSV_Import!$F$2)/1000</f>
        <v>21.4</v>
      </c>
      <c r="D94">
        <f>ROUND(TAN(RADIANS(CSV_Import!A92))*((Auswertung!$C$8*100)/2-Auswertung!$C$9),3)</f>
        <v>11.914999999999999</v>
      </c>
      <c r="E94">
        <f>ROUND(TAN(RADIANS(CSV_Import!Q92))*((Auswertung!$C$8/2)*100-Auswertung!$C$9),3)</f>
        <v>9.7780000000000005</v>
      </c>
      <c r="G94">
        <f>(CSV_Import!M92-CSV_Import!$M$2)</f>
        <v>-39.090000000000018</v>
      </c>
      <c r="H94">
        <f>(CSV_Import!AC92-CSV_Import!$AC$2)</f>
        <v>26.53</v>
      </c>
    </row>
    <row r="95" spans="2:8" x14ac:dyDescent="0.25">
      <c r="B95">
        <f>(CSV_Import!F93-CSV_Import!$F$2)/1000</f>
        <v>21.6</v>
      </c>
      <c r="D95">
        <f>ROUND(TAN(RADIANS(CSV_Import!A93))*((Auswertung!$C$8*100)/2-Auswertung!$C$9),3)</f>
        <v>16.652000000000001</v>
      </c>
      <c r="E95">
        <f>ROUND(TAN(RADIANS(CSV_Import!Q93))*((Auswertung!$C$8/2)*100-Auswertung!$C$9),3)</f>
        <v>14.744999999999999</v>
      </c>
      <c r="G95">
        <f>(CSV_Import!M93-CSV_Import!$M$2)</f>
        <v>-39.280000000000015</v>
      </c>
      <c r="H95">
        <f>(CSV_Import!AC93-CSV_Import!$AC$2)</f>
        <v>27</v>
      </c>
    </row>
    <row r="96" spans="2:8" x14ac:dyDescent="0.25">
      <c r="B96">
        <f>(CSV_Import!F94-CSV_Import!$F$2)/1000</f>
        <v>21.8</v>
      </c>
      <c r="D96">
        <f>ROUND(TAN(RADIANS(CSV_Import!A94))*((Auswertung!$C$8*100)/2-Auswertung!$C$9),3)</f>
        <v>16.29</v>
      </c>
      <c r="E96">
        <f>ROUND(TAN(RADIANS(CSV_Import!Q94))*((Auswertung!$C$8/2)*100-Auswertung!$C$9),3)</f>
        <v>14.525</v>
      </c>
      <c r="G96">
        <f>(CSV_Import!M94-CSV_Import!$M$2)</f>
        <v>-39.240000000000009</v>
      </c>
      <c r="H96">
        <f>(CSV_Import!AC94-CSV_Import!$AC$2)</f>
        <v>26.930000000000007</v>
      </c>
    </row>
    <row r="97" spans="2:8" x14ac:dyDescent="0.25">
      <c r="B97">
        <f>(CSV_Import!F95-CSV_Import!$F$2)/1000</f>
        <v>22</v>
      </c>
      <c r="D97">
        <f>ROUND(TAN(RADIANS(CSV_Import!A95))*((Auswertung!$C$8*100)/2-Auswertung!$C$9),3)</f>
        <v>14.484</v>
      </c>
      <c r="E97">
        <f>ROUND(TAN(RADIANS(CSV_Import!Q95))*((Auswertung!$C$8/2)*100-Auswertung!$C$9),3)</f>
        <v>13.643000000000001</v>
      </c>
      <c r="G97">
        <f>(CSV_Import!M95-CSV_Import!$M$2)</f>
        <v>-39.390000000000015</v>
      </c>
      <c r="H97">
        <f>(CSV_Import!AC95-CSV_Import!$AC$2)</f>
        <v>27.099999999999994</v>
      </c>
    </row>
    <row r="98" spans="2:8" x14ac:dyDescent="0.25">
      <c r="B98">
        <f>(CSV_Import!F96-CSV_Import!$F$2)/1000</f>
        <v>22.2</v>
      </c>
      <c r="D98">
        <f>ROUND(TAN(RADIANS(CSV_Import!A96))*((Auswertung!$C$8*100)/2-Auswertung!$C$9),3)</f>
        <v>11.202</v>
      </c>
      <c r="E98">
        <f>ROUND(TAN(RADIANS(CSV_Import!Q96))*((Auswertung!$C$8/2)*100-Auswertung!$C$9),3)</f>
        <v>7.8620000000000001</v>
      </c>
      <c r="G98">
        <f>(CSV_Import!M96-CSV_Import!$M$2)</f>
        <v>-38.830000000000013</v>
      </c>
      <c r="H98">
        <f>(CSV_Import!AC96-CSV_Import!$AC$2)</f>
        <v>27.320000000000022</v>
      </c>
    </row>
    <row r="99" spans="2:8" x14ac:dyDescent="0.25">
      <c r="B99">
        <f>(CSV_Import!F97-CSV_Import!$F$2)/1000</f>
        <v>22.4</v>
      </c>
      <c r="D99">
        <f>ROUND(TAN(RADIANS(CSV_Import!A97))*((Auswertung!$C$8*100)/2-Auswertung!$C$9),3)</f>
        <v>9.1999999999999993</v>
      </c>
      <c r="E99">
        <f>ROUND(TAN(RADIANS(CSV_Import!Q97))*((Auswertung!$C$8/2)*100-Auswertung!$C$9),3)</f>
        <v>4.4509999999999996</v>
      </c>
      <c r="G99">
        <f>(CSV_Import!M97-CSV_Import!$M$2)</f>
        <v>-38.65000000000002</v>
      </c>
      <c r="H99">
        <f>(CSV_Import!AC97-CSV_Import!$AC$2)</f>
        <v>27.430000000000007</v>
      </c>
    </row>
    <row r="100" spans="2:8" x14ac:dyDescent="0.25">
      <c r="B100">
        <f>(CSV_Import!F98-CSV_Import!$F$2)/1000</f>
        <v>22.6</v>
      </c>
      <c r="D100">
        <f>ROUND(TAN(RADIANS(CSV_Import!A98))*((Auswertung!$C$8*100)/2-Auswertung!$C$9),3)</f>
        <v>5.7930000000000001</v>
      </c>
      <c r="E100">
        <f>ROUND(TAN(RADIANS(CSV_Import!Q98))*((Auswertung!$C$8/2)*100-Auswertung!$C$9),3)</f>
        <v>0.29099999999999998</v>
      </c>
      <c r="G100">
        <f>(CSV_Import!M98-CSV_Import!$M$2)</f>
        <v>-38.390000000000015</v>
      </c>
      <c r="H100">
        <f>(CSV_Import!AC98-CSV_Import!$AC$2)</f>
        <v>28.090000000000003</v>
      </c>
    </row>
    <row r="101" spans="2:8" x14ac:dyDescent="0.25">
      <c r="B101">
        <f>(CSV_Import!F99-CSV_Import!$F$2)/1000</f>
        <v>22.8</v>
      </c>
      <c r="D101">
        <f>ROUND(TAN(RADIANS(CSV_Import!A99))*((Auswertung!$C$8*100)/2-Auswertung!$C$9),3)</f>
        <v>1.5920000000000001</v>
      </c>
      <c r="E101">
        <f>ROUND(TAN(RADIANS(CSV_Import!Q99))*((Auswertung!$C$8/2)*100-Auswertung!$C$9),3)</f>
        <v>-1.9930000000000001</v>
      </c>
      <c r="G101">
        <f>(CSV_Import!M99-CSV_Import!$M$2)</f>
        <v>-38.210000000000008</v>
      </c>
      <c r="H101">
        <f>(CSV_Import!AC99-CSV_Import!$AC$2)</f>
        <v>27.580000000000013</v>
      </c>
    </row>
    <row r="102" spans="2:8" x14ac:dyDescent="0.25">
      <c r="B102">
        <f>(CSV_Import!F100-CSV_Import!$F$2)/1000</f>
        <v>23</v>
      </c>
      <c r="D102">
        <f>ROUND(TAN(RADIANS(CSV_Import!A100))*((Auswertung!$C$8*100)/2-Auswertung!$C$9),3)</f>
        <v>-0.94899999999999995</v>
      </c>
      <c r="E102">
        <f>ROUND(TAN(RADIANS(CSV_Import!Q100))*((Auswertung!$C$8/2)*100-Auswertung!$C$9),3)</f>
        <v>-4.82</v>
      </c>
      <c r="G102">
        <f>(CSV_Import!M100-CSV_Import!$M$2)</f>
        <v>-38.180000000000007</v>
      </c>
      <c r="H102">
        <f>(CSV_Import!AC100-CSV_Import!$AC$2)</f>
        <v>27.629999999999995</v>
      </c>
    </row>
    <row r="103" spans="2:8" x14ac:dyDescent="0.25">
      <c r="B103">
        <f>(CSV_Import!F101-CSV_Import!$F$2)/1000</f>
        <v>23.2</v>
      </c>
      <c r="D103">
        <f>ROUND(TAN(RADIANS(CSV_Import!A101))*((Auswertung!$C$8*100)/2-Auswertung!$C$9),3)</f>
        <v>-3.899</v>
      </c>
      <c r="E103">
        <f>ROUND(TAN(RADIANS(CSV_Import!Q101))*((Auswertung!$C$8/2)*100-Auswertung!$C$9),3)</f>
        <v>-7.9989999999999997</v>
      </c>
      <c r="G103">
        <f>(CSV_Import!M101-CSV_Import!$M$2)</f>
        <v>-37.830000000000013</v>
      </c>
      <c r="H103">
        <f>(CSV_Import!AC101-CSV_Import!$AC$2)</f>
        <v>28.129999999999995</v>
      </c>
    </row>
    <row r="104" spans="2:8" x14ac:dyDescent="0.25">
      <c r="B104">
        <f>(CSV_Import!F102-CSV_Import!$F$2)/1000</f>
        <v>23.4</v>
      </c>
      <c r="D104">
        <f>ROUND(TAN(RADIANS(CSV_Import!A102))*((Auswertung!$C$8*100)/2-Auswertung!$C$9),3)</f>
        <v>-5.3680000000000003</v>
      </c>
      <c r="E104">
        <f>ROUND(TAN(RADIANS(CSV_Import!Q102))*((Auswertung!$C$8/2)*100-Auswertung!$C$9),3)</f>
        <v>-9.7650000000000006</v>
      </c>
      <c r="G104">
        <f>(CSV_Import!M102-CSV_Import!$M$2)</f>
        <v>-38.410000000000011</v>
      </c>
      <c r="H104">
        <f>(CSV_Import!AC102-CSV_Import!$AC$2)</f>
        <v>28.180000000000007</v>
      </c>
    </row>
    <row r="105" spans="2:8" x14ac:dyDescent="0.25">
      <c r="B105">
        <f>(CSV_Import!F103-CSV_Import!$F$2)/1000</f>
        <v>23.6</v>
      </c>
      <c r="D105">
        <f>ROUND(TAN(RADIANS(CSV_Import!A103))*((Auswertung!$C$8*100)/2-Auswertung!$C$9),3)</f>
        <v>-5.19</v>
      </c>
      <c r="E105">
        <f>ROUND(TAN(RADIANS(CSV_Import!Q103))*((Auswertung!$C$8/2)*100-Auswertung!$C$9),3)</f>
        <v>-7.8929999999999998</v>
      </c>
      <c r="G105">
        <f>(CSV_Import!M103-CSV_Import!$M$2)</f>
        <v>-38.660000000000011</v>
      </c>
      <c r="H105">
        <f>(CSV_Import!AC103-CSV_Import!$AC$2)</f>
        <v>28.420000000000016</v>
      </c>
    </row>
    <row r="106" spans="2:8" x14ac:dyDescent="0.25">
      <c r="B106">
        <f>(CSV_Import!F104-CSV_Import!$F$2)/1000</f>
        <v>23.8</v>
      </c>
      <c r="D106">
        <f>ROUND(TAN(RADIANS(CSV_Import!A104))*((Auswertung!$C$8*100)/2-Auswertung!$C$9),3)</f>
        <v>-3.169</v>
      </c>
      <c r="E106">
        <f>ROUND(TAN(RADIANS(CSV_Import!Q104))*((Auswertung!$C$8/2)*100-Auswertung!$C$9),3)</f>
        <v>-4.7830000000000004</v>
      </c>
      <c r="G106">
        <f>(CSV_Import!M104-CSV_Import!$M$2)</f>
        <v>-39.100000000000009</v>
      </c>
      <c r="H106">
        <f>(CSV_Import!AC104-CSV_Import!$AC$2)</f>
        <v>28.310000000000002</v>
      </c>
    </row>
    <row r="107" spans="2:8" x14ac:dyDescent="0.25">
      <c r="B107">
        <f>(CSV_Import!F105-CSV_Import!$F$2)/1000</f>
        <v>24</v>
      </c>
      <c r="D107">
        <f>ROUND(TAN(RADIANS(CSV_Import!A105))*((Auswertung!$C$8*100)/2-Auswertung!$C$9),3)</f>
        <v>-0.749</v>
      </c>
      <c r="E107">
        <f>ROUND(TAN(RADIANS(CSV_Import!Q105))*((Auswertung!$C$8/2)*100-Auswertung!$C$9),3)</f>
        <v>-2.3159999999999998</v>
      </c>
      <c r="G107">
        <f>(CSV_Import!M105-CSV_Import!$M$2)</f>
        <v>-39.710000000000008</v>
      </c>
      <c r="H107">
        <f>(CSV_Import!AC105-CSV_Import!$AC$2)</f>
        <v>28.379999999999995</v>
      </c>
    </row>
    <row r="108" spans="2:8" x14ac:dyDescent="0.25">
      <c r="B108">
        <f>(CSV_Import!F106-CSV_Import!$F$2)/1000</f>
        <v>24.2</v>
      </c>
      <c r="D108">
        <f>ROUND(TAN(RADIANS(CSV_Import!A106))*((Auswertung!$C$8*100)/2-Auswertung!$C$9),3)</f>
        <v>3.2069999999999999</v>
      </c>
      <c r="E108">
        <f>ROUND(TAN(RADIANS(CSV_Import!Q106))*((Auswertung!$C$8/2)*100-Auswertung!$C$9),3)</f>
        <v>0.105</v>
      </c>
      <c r="G108">
        <f>(CSV_Import!M106-CSV_Import!$M$2)</f>
        <v>-40.080000000000013</v>
      </c>
      <c r="H108">
        <f>(CSV_Import!AC106-CSV_Import!$AC$2)</f>
        <v>27.980000000000018</v>
      </c>
    </row>
    <row r="109" spans="2:8" x14ac:dyDescent="0.25">
      <c r="B109">
        <f>(CSV_Import!F107-CSV_Import!$F$2)/1000</f>
        <v>24.4</v>
      </c>
      <c r="D109">
        <f>ROUND(TAN(RADIANS(CSV_Import!A107))*((Auswertung!$C$8*100)/2-Auswertung!$C$9),3)</f>
        <v>5.851</v>
      </c>
      <c r="E109">
        <f>ROUND(TAN(RADIANS(CSV_Import!Q107))*((Auswertung!$C$8/2)*100-Auswertung!$C$9),3)</f>
        <v>1.986</v>
      </c>
      <c r="G109">
        <f>(CSV_Import!M107-CSV_Import!$M$2)</f>
        <v>-39.850000000000009</v>
      </c>
      <c r="H109">
        <f>(CSV_Import!AC107-CSV_Import!$AC$2)</f>
        <v>28.300000000000011</v>
      </c>
    </row>
    <row r="110" spans="2:8" x14ac:dyDescent="0.25">
      <c r="B110">
        <f>(CSV_Import!F108-CSV_Import!$F$2)/1000</f>
        <v>24.6</v>
      </c>
      <c r="D110">
        <f>ROUND(TAN(RADIANS(CSV_Import!A108))*((Auswertung!$C$8*100)/2-Auswertung!$C$9),3)</f>
        <v>8.6720000000000006</v>
      </c>
      <c r="E110">
        <f>ROUND(TAN(RADIANS(CSV_Import!Q108))*((Auswertung!$C$8/2)*100-Auswertung!$C$9),3)</f>
        <v>5.2750000000000004</v>
      </c>
      <c r="G110">
        <f>(CSV_Import!M108-CSV_Import!$M$2)</f>
        <v>-40.15000000000002</v>
      </c>
      <c r="H110">
        <f>(CSV_Import!AC108-CSV_Import!$AC$2)</f>
        <v>28.340000000000003</v>
      </c>
    </row>
    <row r="111" spans="2:8" x14ac:dyDescent="0.25">
      <c r="B111">
        <f>(CSV_Import!F109-CSV_Import!$F$2)/1000</f>
        <v>24.8</v>
      </c>
      <c r="D111">
        <f>ROUND(TAN(RADIANS(CSV_Import!A109))*((Auswertung!$C$8*100)/2-Auswertung!$C$9),3)</f>
        <v>11.217000000000001</v>
      </c>
      <c r="E111">
        <f>ROUND(TAN(RADIANS(CSV_Import!Q109))*((Auswertung!$C$8/2)*100-Auswertung!$C$9),3)</f>
        <v>7.5110000000000001</v>
      </c>
      <c r="G111">
        <f>(CSV_Import!M109-CSV_Import!$M$2)</f>
        <v>-39.830000000000013</v>
      </c>
      <c r="H111">
        <f>(CSV_Import!AC109-CSV_Import!$AC$2)</f>
        <v>27.849999999999994</v>
      </c>
    </row>
    <row r="112" spans="2:8" x14ac:dyDescent="0.25">
      <c r="B112">
        <f>(CSV_Import!F110-CSV_Import!$F$2)/1000</f>
        <v>25</v>
      </c>
      <c r="D112">
        <f>ROUND(TAN(RADIANS(CSV_Import!A110))*((Auswertung!$C$8*100)/2-Auswertung!$C$9),3)</f>
        <v>13.997999999999999</v>
      </c>
      <c r="E112">
        <f>ROUND(TAN(RADIANS(CSV_Import!Q110))*((Auswertung!$C$8/2)*100-Auswertung!$C$9),3)</f>
        <v>10.348000000000001</v>
      </c>
      <c r="G112">
        <f>(CSV_Import!M110-CSV_Import!$M$2)</f>
        <v>-39.250000000000014</v>
      </c>
      <c r="H112">
        <f>(CSV_Import!AC110-CSV_Import!$AC$2)</f>
        <v>27.650000000000006</v>
      </c>
    </row>
    <row r="113" spans="2:8" x14ac:dyDescent="0.25">
      <c r="B113">
        <f>(CSV_Import!F111-CSV_Import!$F$2)/1000</f>
        <v>25.2</v>
      </c>
      <c r="D113">
        <f>ROUND(TAN(RADIANS(CSV_Import!A111))*((Auswertung!$C$8*100)/2-Auswertung!$C$9),3)</f>
        <v>15.689</v>
      </c>
      <c r="E113">
        <f>ROUND(TAN(RADIANS(CSV_Import!Q111))*((Auswertung!$C$8/2)*100-Auswertung!$C$9),3)</f>
        <v>11.113</v>
      </c>
      <c r="G113">
        <f>(CSV_Import!M111-CSV_Import!$M$2)</f>
        <v>-38.79000000000002</v>
      </c>
      <c r="H113">
        <f>(CSV_Import!AC111-CSV_Import!$AC$2)</f>
        <v>26.909999999999997</v>
      </c>
    </row>
    <row r="114" spans="2:8" x14ac:dyDescent="0.25">
      <c r="B114">
        <f>(CSV_Import!F112-CSV_Import!$F$2)/1000</f>
        <v>25.4</v>
      </c>
      <c r="D114">
        <f>ROUND(TAN(RADIANS(CSV_Import!A112))*((Auswertung!$C$8*100)/2-Auswertung!$C$9),3)</f>
        <v>14.169</v>
      </c>
      <c r="E114">
        <f>ROUND(TAN(RADIANS(CSV_Import!Q112))*((Auswertung!$C$8/2)*100-Auswertung!$C$9),3)</f>
        <v>9.6319999999999997</v>
      </c>
      <c r="G114">
        <f>(CSV_Import!M112-CSV_Import!$M$2)</f>
        <v>-38.200000000000017</v>
      </c>
      <c r="H114">
        <f>(CSV_Import!AC112-CSV_Import!$AC$2)</f>
        <v>27.240000000000009</v>
      </c>
    </row>
    <row r="115" spans="2:8" x14ac:dyDescent="0.25">
      <c r="B115">
        <f>(CSV_Import!F113-CSV_Import!$F$2)/1000</f>
        <v>25.6</v>
      </c>
      <c r="D115">
        <f>ROUND(TAN(RADIANS(CSV_Import!A113))*((Auswertung!$C$8*100)/2-Auswertung!$C$9),3)</f>
        <v>11.413</v>
      </c>
      <c r="E115">
        <f>ROUND(TAN(RADIANS(CSV_Import!Q113))*((Auswertung!$C$8/2)*100-Auswertung!$C$9),3)</f>
        <v>7</v>
      </c>
      <c r="G115">
        <f>(CSV_Import!M113-CSV_Import!$M$2)</f>
        <v>-37.90000000000002</v>
      </c>
      <c r="H115">
        <f>(CSV_Import!AC113-CSV_Import!$AC$2)</f>
        <v>27.47</v>
      </c>
    </row>
    <row r="116" spans="2:8" x14ac:dyDescent="0.25">
      <c r="B116">
        <f>(CSV_Import!F114-CSV_Import!$F$2)/1000</f>
        <v>25.8</v>
      </c>
      <c r="D116">
        <f>ROUND(TAN(RADIANS(CSV_Import!A114))*((Auswertung!$C$8*100)/2-Auswertung!$C$9),3)</f>
        <v>8.5570000000000004</v>
      </c>
      <c r="E116">
        <f>ROUND(TAN(RADIANS(CSV_Import!Q114))*((Auswertung!$C$8/2)*100-Auswertung!$C$9),3)</f>
        <v>5.609</v>
      </c>
      <c r="G116">
        <f>(CSV_Import!M114-CSV_Import!$M$2)</f>
        <v>-37.740000000000009</v>
      </c>
      <c r="H116">
        <f>(CSV_Import!AC114-CSV_Import!$AC$2)</f>
        <v>27.78</v>
      </c>
    </row>
    <row r="117" spans="2:8" x14ac:dyDescent="0.25">
      <c r="B117">
        <f>(CSV_Import!F115-CSV_Import!$F$2)/1000</f>
        <v>26</v>
      </c>
      <c r="D117">
        <f>ROUND(TAN(RADIANS(CSV_Import!A115))*((Auswertung!$C$8*100)/2-Auswertung!$C$9),3)</f>
        <v>6.9539999999999997</v>
      </c>
      <c r="E117">
        <f>ROUND(TAN(RADIANS(CSV_Import!Q115))*((Auswertung!$C$8/2)*100-Auswertung!$C$9),3)</f>
        <v>3.5430000000000001</v>
      </c>
      <c r="G117">
        <f>(CSV_Import!M115-CSV_Import!$M$2)</f>
        <v>-37.930000000000007</v>
      </c>
      <c r="H117">
        <f>(CSV_Import!AC115-CSV_Import!$AC$2)</f>
        <v>27.97</v>
      </c>
    </row>
    <row r="118" spans="2:8" x14ac:dyDescent="0.25">
      <c r="B118">
        <f>(CSV_Import!F116-CSV_Import!$F$2)/1000</f>
        <v>26.2</v>
      </c>
      <c r="D118">
        <f>ROUND(TAN(RADIANS(CSV_Import!A116))*((Auswertung!$C$8*100)/2-Auswertung!$C$9),3)</f>
        <v>4.9610000000000003</v>
      </c>
      <c r="E118">
        <f>ROUND(TAN(RADIANS(CSV_Import!Q116))*((Auswertung!$C$8/2)*100-Auswertung!$C$9),3)</f>
        <v>1.133</v>
      </c>
      <c r="G118">
        <f>(CSV_Import!M116-CSV_Import!$M$2)</f>
        <v>-37.890000000000015</v>
      </c>
      <c r="H118">
        <f>(CSV_Import!AC116-CSV_Import!$AC$2)</f>
        <v>28.070000000000022</v>
      </c>
    </row>
    <row r="119" spans="2:8" x14ac:dyDescent="0.25">
      <c r="B119">
        <f>(CSV_Import!F117-CSV_Import!$F$2)/1000</f>
        <v>26.4</v>
      </c>
      <c r="D119">
        <f>ROUND(TAN(RADIANS(CSV_Import!A117))*((Auswertung!$C$8*100)/2-Auswertung!$C$9),3)</f>
        <v>3.452</v>
      </c>
      <c r="E119">
        <f>ROUND(TAN(RADIANS(CSV_Import!Q117))*((Auswertung!$C$8/2)*100-Auswertung!$C$9),3)</f>
        <v>-0.96299999999999997</v>
      </c>
      <c r="G119">
        <f>(CSV_Import!M117-CSV_Import!$M$2)</f>
        <v>-38.390000000000015</v>
      </c>
      <c r="H119">
        <f>(CSV_Import!AC117-CSV_Import!$AC$2)</f>
        <v>28.360000000000014</v>
      </c>
    </row>
    <row r="120" spans="2:8" x14ac:dyDescent="0.25">
      <c r="B120">
        <f>(CSV_Import!F118-CSV_Import!$F$2)/1000</f>
        <v>26.6</v>
      </c>
      <c r="D120">
        <f>ROUND(TAN(RADIANS(CSV_Import!A118))*((Auswertung!$C$8*100)/2-Auswertung!$C$9),3)</f>
        <v>1.421</v>
      </c>
      <c r="E120">
        <f>ROUND(TAN(RADIANS(CSV_Import!Q118))*((Auswertung!$C$8/2)*100-Auswertung!$C$9),3)</f>
        <v>-1.9730000000000001</v>
      </c>
      <c r="G120">
        <f>(CSV_Import!M118-CSV_Import!$M$2)</f>
        <v>-39.000000000000014</v>
      </c>
      <c r="H120">
        <f>(CSV_Import!AC118-CSV_Import!$AC$2)</f>
        <v>28.400000000000006</v>
      </c>
    </row>
    <row r="121" spans="2:8" x14ac:dyDescent="0.25">
      <c r="B121">
        <f>(CSV_Import!F119-CSV_Import!$F$2)/1000</f>
        <v>26.8</v>
      </c>
      <c r="D121">
        <f>ROUND(TAN(RADIANS(CSV_Import!A119))*((Auswertung!$C$8*100)/2-Auswertung!$C$9),3)</f>
        <v>-0.46899999999999997</v>
      </c>
      <c r="E121">
        <f>ROUND(TAN(RADIANS(CSV_Import!Q119))*((Auswertung!$C$8/2)*100-Auswertung!$C$9),3)</f>
        <v>-2.8879999999999999</v>
      </c>
      <c r="G121">
        <f>(CSV_Import!M119-CSV_Import!$M$2)</f>
        <v>-39.720000000000013</v>
      </c>
      <c r="H121">
        <f>(CSV_Import!AC119-CSV_Import!$AC$2)</f>
        <v>28.990000000000009</v>
      </c>
    </row>
    <row r="122" spans="2:8" x14ac:dyDescent="0.25">
      <c r="B122">
        <f>(CSV_Import!F120-CSV_Import!$F$2)/1000</f>
        <v>27</v>
      </c>
      <c r="D122">
        <f>ROUND(TAN(RADIANS(CSV_Import!A120))*((Auswertung!$C$8*100)/2-Auswertung!$C$9),3)</f>
        <v>-1.74</v>
      </c>
      <c r="E122">
        <f>ROUND(TAN(RADIANS(CSV_Import!Q120))*((Auswertung!$C$8/2)*100-Auswertung!$C$9),3)</f>
        <v>-4.4989999999999997</v>
      </c>
      <c r="G122">
        <f>(CSV_Import!M120-CSV_Import!$M$2)</f>
        <v>-40.050000000000011</v>
      </c>
      <c r="H122">
        <f>(CSV_Import!AC120-CSV_Import!$AC$2)</f>
        <v>29.240000000000009</v>
      </c>
    </row>
    <row r="123" spans="2:8" x14ac:dyDescent="0.25">
      <c r="B123">
        <f>(CSV_Import!F121-CSV_Import!$F$2)/1000</f>
        <v>27.2</v>
      </c>
      <c r="D123">
        <f>ROUND(TAN(RADIANS(CSV_Import!A121))*((Auswertung!$C$8*100)/2-Auswertung!$C$9),3)</f>
        <v>-2.4119999999999999</v>
      </c>
      <c r="E123">
        <f>ROUND(TAN(RADIANS(CSV_Import!Q121))*((Auswertung!$C$8/2)*100-Auswertung!$C$9),3)</f>
        <v>-6.2119999999999997</v>
      </c>
      <c r="G123">
        <f>(CSV_Import!M121-CSV_Import!$M$2)</f>
        <v>-40.580000000000013</v>
      </c>
      <c r="H123">
        <f>(CSV_Import!AC121-CSV_Import!$AC$2)</f>
        <v>30.340000000000003</v>
      </c>
    </row>
    <row r="124" spans="2:8" x14ac:dyDescent="0.25">
      <c r="B124">
        <f>(CSV_Import!F122-CSV_Import!$F$2)/1000</f>
        <v>27.4</v>
      </c>
      <c r="D124">
        <f>ROUND(TAN(RADIANS(CSV_Import!A122))*((Auswertung!$C$8*100)/2-Auswertung!$C$9),3)</f>
        <v>-2.7839999999999998</v>
      </c>
      <c r="E124">
        <f>ROUND(TAN(RADIANS(CSV_Import!Q122))*((Auswertung!$C$8/2)*100-Auswertung!$C$9),3)</f>
        <v>-6.9710000000000001</v>
      </c>
      <c r="G124">
        <f>(CSV_Import!M122-CSV_Import!$M$2)</f>
        <v>-41.38000000000001</v>
      </c>
      <c r="H124">
        <f>(CSV_Import!AC122-CSV_Import!$AC$2)</f>
        <v>30.599999999999994</v>
      </c>
    </row>
    <row r="125" spans="2:8" x14ac:dyDescent="0.25">
      <c r="B125">
        <f>(CSV_Import!F123-CSV_Import!$F$2)/1000</f>
        <v>27.6</v>
      </c>
      <c r="D125">
        <f>ROUND(TAN(RADIANS(CSV_Import!A123))*((Auswertung!$C$8*100)/2-Auswertung!$C$9),3)</f>
        <v>-2.6</v>
      </c>
      <c r="E125">
        <f>ROUND(TAN(RADIANS(CSV_Import!Q123))*((Auswertung!$C$8/2)*100-Auswertung!$C$9),3)</f>
        <v>-7.1829999999999998</v>
      </c>
      <c r="G125">
        <f>(CSV_Import!M123-CSV_Import!$M$2)</f>
        <v>-41.610000000000014</v>
      </c>
      <c r="H125">
        <f>(CSV_Import!AC123-CSV_Import!$AC$2)</f>
        <v>31.629999999999995</v>
      </c>
    </row>
    <row r="126" spans="2:8" x14ac:dyDescent="0.25">
      <c r="B126">
        <f>(CSV_Import!F124-CSV_Import!$F$2)/1000</f>
        <v>27.8</v>
      </c>
      <c r="D126">
        <f>ROUND(TAN(RADIANS(CSV_Import!A124))*((Auswertung!$C$8*100)/2-Auswertung!$C$9),3)</f>
        <v>-2.129</v>
      </c>
      <c r="E126">
        <f>ROUND(TAN(RADIANS(CSV_Import!Q124))*((Auswertung!$C$8/2)*100-Auswertung!$C$9),3)</f>
        <v>-5.6340000000000003</v>
      </c>
      <c r="G126">
        <f>(CSV_Import!M124-CSV_Import!$M$2)</f>
        <v>-42.190000000000012</v>
      </c>
      <c r="H126">
        <f>(CSV_Import!AC124-CSV_Import!$AC$2)</f>
        <v>30.820000000000022</v>
      </c>
    </row>
    <row r="127" spans="2:8" x14ac:dyDescent="0.25">
      <c r="B127">
        <f>(CSV_Import!F125-CSV_Import!$F$2)/1000</f>
        <v>28</v>
      </c>
      <c r="D127">
        <f>ROUND(TAN(RADIANS(CSV_Import!A125))*((Auswertung!$C$8*100)/2-Auswertung!$C$9),3)</f>
        <v>-1.4330000000000001</v>
      </c>
      <c r="E127">
        <f>ROUND(TAN(RADIANS(CSV_Import!Q125))*((Auswertung!$C$8/2)*100-Auswertung!$C$9),3)</f>
        <v>-4.6790000000000003</v>
      </c>
      <c r="G127">
        <f>(CSV_Import!M125-CSV_Import!$M$2)</f>
        <v>-41.980000000000018</v>
      </c>
      <c r="H127">
        <f>(CSV_Import!AC125-CSV_Import!$AC$2)</f>
        <v>30.990000000000009</v>
      </c>
    </row>
    <row r="128" spans="2:8" x14ac:dyDescent="0.25">
      <c r="B128">
        <f>(CSV_Import!F126-CSV_Import!$F$2)/1000</f>
        <v>28.2</v>
      </c>
      <c r="D128">
        <f>ROUND(TAN(RADIANS(CSV_Import!A126))*((Auswertung!$C$8*100)/2-Auswertung!$C$9),3)</f>
        <v>-2.3E-2</v>
      </c>
      <c r="E128">
        <f>ROUND(TAN(RADIANS(CSV_Import!Q126))*((Auswertung!$C$8/2)*100-Auswertung!$C$9),3)</f>
        <v>-3.7229999999999999</v>
      </c>
      <c r="G128">
        <f>(CSV_Import!M126-CSV_Import!$M$2)</f>
        <v>-41.90000000000002</v>
      </c>
      <c r="H128">
        <f>(CSV_Import!AC126-CSV_Import!$AC$2)</f>
        <v>31.27000000000001</v>
      </c>
    </row>
    <row r="129" spans="2:8" x14ac:dyDescent="0.25">
      <c r="B129">
        <f>(CSV_Import!F127-CSV_Import!$F$2)/1000</f>
        <v>28.4</v>
      </c>
      <c r="D129">
        <f>ROUND(TAN(RADIANS(CSV_Import!A127))*((Auswertung!$C$8*100)/2-Auswertung!$C$9),3)</f>
        <v>0.70499999999999996</v>
      </c>
      <c r="E129">
        <f>ROUND(TAN(RADIANS(CSV_Import!Q127))*((Auswertung!$C$8/2)*100-Auswertung!$C$9),3)</f>
        <v>-3.4180000000000001</v>
      </c>
      <c r="G129">
        <f>(CSV_Import!M127-CSV_Import!$M$2)</f>
        <v>-41.740000000000009</v>
      </c>
      <c r="H129">
        <f>(CSV_Import!AC127-CSV_Import!$AC$2)</f>
        <v>30.939999999999998</v>
      </c>
    </row>
    <row r="130" spans="2:8" x14ac:dyDescent="0.25">
      <c r="B130">
        <f>(CSV_Import!F128-CSV_Import!$F$2)/1000</f>
        <v>28.6</v>
      </c>
      <c r="D130">
        <f>ROUND(TAN(RADIANS(CSV_Import!A128))*((Auswertung!$C$8*100)/2-Auswertung!$C$9),3)</f>
        <v>2.0329999999999999</v>
      </c>
      <c r="E130">
        <f>ROUND(TAN(RADIANS(CSV_Import!Q128))*((Auswertung!$C$8/2)*100-Auswertung!$C$9),3)</f>
        <v>-1.4039999999999999</v>
      </c>
      <c r="G130">
        <f>(CSV_Import!M128-CSV_Import!$M$2)</f>
        <v>-41.230000000000018</v>
      </c>
      <c r="H130">
        <f>(CSV_Import!AC128-CSV_Import!$AC$2)</f>
        <v>30.5</v>
      </c>
    </row>
    <row r="131" spans="2:8" x14ac:dyDescent="0.25">
      <c r="B131">
        <f>(CSV_Import!F129-CSV_Import!$F$2)/1000</f>
        <v>28.8</v>
      </c>
      <c r="D131">
        <f>ROUND(TAN(RADIANS(CSV_Import!A129))*((Auswertung!$C$8*100)/2-Auswertung!$C$9),3)</f>
        <v>3.3159999999999998</v>
      </c>
      <c r="E131">
        <f>ROUND(TAN(RADIANS(CSV_Import!Q129))*((Auswertung!$C$8/2)*100-Auswertung!$C$9),3)</f>
        <v>-1.0960000000000001</v>
      </c>
      <c r="G131">
        <f>(CSV_Import!M129-CSV_Import!$M$2)</f>
        <v>-41.370000000000019</v>
      </c>
      <c r="H131">
        <f>(CSV_Import!AC129-CSV_Import!$AC$2)</f>
        <v>30.120000000000005</v>
      </c>
    </row>
    <row r="132" spans="2:8" x14ac:dyDescent="0.25">
      <c r="B132">
        <f>(CSV_Import!F130-CSV_Import!$F$2)/1000</f>
        <v>29</v>
      </c>
      <c r="D132">
        <f>ROUND(TAN(RADIANS(CSV_Import!A130))*((Auswertung!$C$8*100)/2-Auswertung!$C$9),3)</f>
        <v>4.4939999999999998</v>
      </c>
      <c r="E132">
        <f>ROUND(TAN(RADIANS(CSV_Import!Q130))*((Auswertung!$C$8/2)*100-Auswertung!$C$9),3)</f>
        <v>0.14899999999999999</v>
      </c>
      <c r="G132">
        <f>(CSV_Import!M130-CSV_Import!$M$2)</f>
        <v>-40.79000000000002</v>
      </c>
      <c r="H132">
        <f>(CSV_Import!AC130-CSV_Import!$AC$2)</f>
        <v>29.760000000000019</v>
      </c>
    </row>
    <row r="133" spans="2:8" x14ac:dyDescent="0.25">
      <c r="B133">
        <f>(CSV_Import!F131-CSV_Import!$F$2)/1000</f>
        <v>29.2</v>
      </c>
      <c r="D133">
        <f>ROUND(TAN(RADIANS(CSV_Import!A131))*((Auswertung!$C$8*100)/2-Auswertung!$C$9),3)</f>
        <v>5.4290000000000003</v>
      </c>
      <c r="E133">
        <f>ROUND(TAN(RADIANS(CSV_Import!Q131))*((Auswertung!$C$8/2)*100-Auswertung!$C$9),3)</f>
        <v>1.4219999999999999</v>
      </c>
      <c r="G133">
        <f>(CSV_Import!M131-CSV_Import!$M$2)</f>
        <v>-40.860000000000014</v>
      </c>
      <c r="H133">
        <f>(CSV_Import!AC131-CSV_Import!$AC$2)</f>
        <v>28.849999999999994</v>
      </c>
    </row>
    <row r="134" spans="2:8" x14ac:dyDescent="0.25">
      <c r="B134">
        <f>(CSV_Import!F132-CSV_Import!$F$2)/1000</f>
        <v>29.4</v>
      </c>
      <c r="D134">
        <f>ROUND(TAN(RADIANS(CSV_Import!A132))*((Auswertung!$C$8*100)/2-Auswertung!$C$9),3)</f>
        <v>6.8289999999999997</v>
      </c>
      <c r="E134">
        <f>ROUND(TAN(RADIANS(CSV_Import!Q132))*((Auswertung!$C$8/2)*100-Auswertung!$C$9),3)</f>
        <v>2.617</v>
      </c>
      <c r="G134">
        <f>(CSV_Import!M132-CSV_Import!$M$2)</f>
        <v>-40.060000000000016</v>
      </c>
      <c r="H134">
        <f>(CSV_Import!AC132-CSV_Import!$AC$2)</f>
        <v>28.52000000000001</v>
      </c>
    </row>
    <row r="135" spans="2:8" x14ac:dyDescent="0.25">
      <c r="B135">
        <f>(CSV_Import!F133-CSV_Import!$F$2)/1000</f>
        <v>29.6</v>
      </c>
      <c r="D135">
        <f>ROUND(TAN(RADIANS(CSV_Import!A133))*((Auswertung!$C$8*100)/2-Auswertung!$C$9),3)</f>
        <v>8.0820000000000007</v>
      </c>
      <c r="E135">
        <f>ROUND(TAN(RADIANS(CSV_Import!Q133))*((Auswertung!$C$8/2)*100-Auswertung!$C$9),3)</f>
        <v>3.8940000000000001</v>
      </c>
      <c r="G135">
        <f>(CSV_Import!M133-CSV_Import!$M$2)</f>
        <v>-39.620000000000019</v>
      </c>
      <c r="H135">
        <f>(CSV_Import!AC133-CSV_Import!$AC$2)</f>
        <v>27.830000000000013</v>
      </c>
    </row>
    <row r="136" spans="2:8" x14ac:dyDescent="0.25">
      <c r="B136">
        <f>(CSV_Import!F134-CSV_Import!$F$2)/1000</f>
        <v>29.8</v>
      </c>
      <c r="D136">
        <f>ROUND(TAN(RADIANS(CSV_Import!A134))*((Auswertung!$C$8*100)/2-Auswertung!$C$9),3)</f>
        <v>9.1080000000000005</v>
      </c>
      <c r="E136">
        <f>ROUND(TAN(RADIANS(CSV_Import!Q134))*((Auswertung!$C$8/2)*100-Auswertung!$C$9),3)</f>
        <v>5.7779999999999996</v>
      </c>
      <c r="G136">
        <f>(CSV_Import!M134-CSV_Import!$M$2)</f>
        <v>-39.060000000000016</v>
      </c>
      <c r="H136">
        <f>(CSV_Import!AC134-CSV_Import!$AC$2)</f>
        <v>27.090000000000003</v>
      </c>
    </row>
    <row r="137" spans="2:8" x14ac:dyDescent="0.25">
      <c r="B137">
        <f>(CSV_Import!F135-CSV_Import!$F$2)/1000</f>
        <v>30</v>
      </c>
      <c r="D137">
        <f>ROUND(TAN(RADIANS(CSV_Import!A135))*((Auswertung!$C$8*100)/2-Auswertung!$C$9),3)</f>
        <v>10.382999999999999</v>
      </c>
      <c r="E137">
        <f>ROUND(TAN(RADIANS(CSV_Import!Q135))*((Auswertung!$C$8/2)*100-Auswertung!$C$9),3)</f>
        <v>6.7469999999999999</v>
      </c>
      <c r="G137">
        <f>(CSV_Import!M135-CSV_Import!$M$2)</f>
        <v>-39.080000000000013</v>
      </c>
      <c r="H137">
        <f>(CSV_Import!AC135-CSV_Import!$AC$2)</f>
        <v>26.879999999999995</v>
      </c>
    </row>
    <row r="138" spans="2:8" x14ac:dyDescent="0.25">
      <c r="B138">
        <f>(CSV_Import!F136-CSV_Import!$F$2)/1000</f>
        <v>30.2</v>
      </c>
      <c r="D138">
        <f>ROUND(TAN(RADIANS(CSV_Import!A136))*((Auswertung!$C$8*100)/2-Auswertung!$C$9),3)</f>
        <v>11.353999999999999</v>
      </c>
      <c r="E138">
        <f>ROUND(TAN(RADIANS(CSV_Import!Q136))*((Auswertung!$C$8/2)*100-Auswertung!$C$9),3)</f>
        <v>7.1070000000000002</v>
      </c>
      <c r="G138">
        <f>(CSV_Import!M136-CSV_Import!$M$2)</f>
        <v>-38.740000000000009</v>
      </c>
      <c r="H138">
        <f>(CSV_Import!AC136-CSV_Import!$AC$2)</f>
        <v>26.960000000000008</v>
      </c>
    </row>
    <row r="139" spans="2:8" x14ac:dyDescent="0.25">
      <c r="B139">
        <f>(CSV_Import!F137-CSV_Import!$F$2)/1000</f>
        <v>30.4</v>
      </c>
      <c r="D139">
        <f>ROUND(TAN(RADIANS(CSV_Import!A137))*((Auswertung!$C$8*100)/2-Auswertung!$C$9),3)</f>
        <v>12.132999999999999</v>
      </c>
      <c r="E139">
        <f>ROUND(TAN(RADIANS(CSV_Import!Q137))*((Auswertung!$C$8/2)*100-Auswertung!$C$9),3)</f>
        <v>8.7289999999999992</v>
      </c>
      <c r="G139">
        <f>(CSV_Import!M137-CSV_Import!$M$2)</f>
        <v>-38.260000000000019</v>
      </c>
      <c r="H139">
        <f>(CSV_Import!AC137-CSV_Import!$AC$2)</f>
        <v>26.730000000000018</v>
      </c>
    </row>
    <row r="140" spans="2:8" x14ac:dyDescent="0.25">
      <c r="B140">
        <f>(CSV_Import!F138-CSV_Import!$F$2)/1000</f>
        <v>30.6</v>
      </c>
      <c r="D140">
        <f>ROUND(TAN(RADIANS(CSV_Import!A138))*((Auswertung!$C$8*100)/2-Auswertung!$C$9),3)</f>
        <v>12.509</v>
      </c>
      <c r="E140">
        <f>ROUND(TAN(RADIANS(CSV_Import!Q138))*((Auswertung!$C$8/2)*100-Auswertung!$C$9),3)</f>
        <v>8.9920000000000009</v>
      </c>
      <c r="G140">
        <f>(CSV_Import!M138-CSV_Import!$M$2)</f>
        <v>-37.860000000000014</v>
      </c>
      <c r="H140">
        <f>(CSV_Import!AC138-CSV_Import!$AC$2)</f>
        <v>26.800000000000011</v>
      </c>
    </row>
    <row r="141" spans="2:8" x14ac:dyDescent="0.25">
      <c r="B141">
        <f>(CSV_Import!F139-CSV_Import!$F$2)/1000</f>
        <v>30.8</v>
      </c>
      <c r="D141">
        <f>ROUND(TAN(RADIANS(CSV_Import!A139))*((Auswertung!$C$8*100)/2-Auswertung!$C$9),3)</f>
        <v>12.11</v>
      </c>
      <c r="E141">
        <f>ROUND(TAN(RADIANS(CSV_Import!Q139))*((Auswertung!$C$8/2)*100-Auswertung!$C$9),3)</f>
        <v>8.5709999999999997</v>
      </c>
      <c r="G141">
        <f>(CSV_Import!M139-CSV_Import!$M$2)</f>
        <v>-37.980000000000018</v>
      </c>
      <c r="H141">
        <f>(CSV_Import!AC139-CSV_Import!$AC$2)</f>
        <v>26.47</v>
      </c>
    </row>
    <row r="142" spans="2:8" x14ac:dyDescent="0.25">
      <c r="B142">
        <f>(CSV_Import!F140-CSV_Import!$F$2)/1000</f>
        <v>31</v>
      </c>
      <c r="D142">
        <f>ROUND(TAN(RADIANS(CSV_Import!A140))*((Auswertung!$C$8*100)/2-Auswertung!$C$9),3)</f>
        <v>11.375</v>
      </c>
      <c r="E142">
        <f>ROUND(TAN(RADIANS(CSV_Import!Q140))*((Auswertung!$C$8/2)*100-Auswertung!$C$9),3)</f>
        <v>7.6870000000000003</v>
      </c>
      <c r="G142">
        <f>(CSV_Import!M140-CSV_Import!$M$2)</f>
        <v>-38.330000000000013</v>
      </c>
      <c r="H142">
        <f>(CSV_Import!AC140-CSV_Import!$AC$2)</f>
        <v>27.189999999999998</v>
      </c>
    </row>
    <row r="143" spans="2:8" x14ac:dyDescent="0.25">
      <c r="B143">
        <f>(CSV_Import!F141-CSV_Import!$F$2)/1000</f>
        <v>31.2</v>
      </c>
      <c r="D143">
        <f>ROUND(TAN(RADIANS(CSV_Import!A141))*((Auswertung!$C$8*100)/2-Auswertung!$C$9),3)</f>
        <v>10.443</v>
      </c>
      <c r="E143">
        <f>ROUND(TAN(RADIANS(CSV_Import!Q141))*((Auswertung!$C$8/2)*100-Auswertung!$C$9),3)</f>
        <v>7.14</v>
      </c>
      <c r="G143">
        <f>(CSV_Import!M141-CSV_Import!$M$2)</f>
        <v>-37.980000000000018</v>
      </c>
      <c r="H143">
        <f>(CSV_Import!AC141-CSV_Import!$AC$2)</f>
        <v>27.150000000000006</v>
      </c>
    </row>
    <row r="144" spans="2:8" x14ac:dyDescent="0.25">
      <c r="B144">
        <f>(CSV_Import!F142-CSV_Import!$F$2)/1000</f>
        <v>31.4</v>
      </c>
      <c r="D144">
        <f>ROUND(TAN(RADIANS(CSV_Import!A142))*((Auswertung!$C$8*100)/2-Auswertung!$C$9),3)</f>
        <v>9.7390000000000008</v>
      </c>
      <c r="E144">
        <f>ROUND(TAN(RADIANS(CSV_Import!Q142))*((Auswertung!$C$8/2)*100-Auswertung!$C$9),3)</f>
        <v>6.2519999999999998</v>
      </c>
      <c r="G144">
        <f>(CSV_Import!M142-CSV_Import!$M$2)</f>
        <v>-38.04000000000002</v>
      </c>
      <c r="H144">
        <f>(CSV_Import!AC142-CSV_Import!$AC$2)</f>
        <v>27.320000000000022</v>
      </c>
    </row>
    <row r="145" spans="2:8" x14ac:dyDescent="0.25">
      <c r="B145">
        <f>(CSV_Import!F143-CSV_Import!$F$2)/1000</f>
        <v>31.6</v>
      </c>
      <c r="D145">
        <f>ROUND(TAN(RADIANS(CSV_Import!A143))*((Auswertung!$C$8*100)/2-Auswertung!$C$9),3)</f>
        <v>9.0259999999999998</v>
      </c>
      <c r="E145">
        <f>ROUND(TAN(RADIANS(CSV_Import!Q143))*((Auswertung!$C$8/2)*100-Auswertung!$C$9),3)</f>
        <v>4.7590000000000003</v>
      </c>
      <c r="G145">
        <f>(CSV_Import!M143-CSV_Import!$M$2)</f>
        <v>-38.260000000000019</v>
      </c>
      <c r="H145">
        <f>(CSV_Import!AC143-CSV_Import!$AC$2)</f>
        <v>27.870000000000005</v>
      </c>
    </row>
    <row r="146" spans="2:8" x14ac:dyDescent="0.25">
      <c r="B146">
        <f>(CSV_Import!F144-CSV_Import!$F$2)/1000</f>
        <v>31.8</v>
      </c>
      <c r="D146">
        <f>ROUND(TAN(RADIANS(CSV_Import!A144))*((Auswertung!$C$8*100)/2-Auswertung!$C$9),3)</f>
        <v>7.8780000000000001</v>
      </c>
      <c r="E146">
        <f>ROUND(TAN(RADIANS(CSV_Import!Q144))*((Auswertung!$C$8/2)*100-Auswertung!$C$9),3)</f>
        <v>4.12</v>
      </c>
      <c r="G146">
        <f>(CSV_Import!M144-CSV_Import!$M$2)</f>
        <v>-39.080000000000013</v>
      </c>
      <c r="H146">
        <f>(CSV_Import!AC144-CSV_Import!$AC$2)</f>
        <v>28.02000000000001</v>
      </c>
    </row>
    <row r="147" spans="2:8" x14ac:dyDescent="0.25">
      <c r="B147">
        <f>(CSV_Import!F145-CSV_Import!$F$2)/1000</f>
        <v>32</v>
      </c>
      <c r="D147">
        <f>ROUND(TAN(RADIANS(CSV_Import!A145))*((Auswertung!$C$8*100)/2-Auswertung!$C$9),3)</f>
        <v>7.4930000000000003</v>
      </c>
      <c r="E147">
        <f>ROUND(TAN(RADIANS(CSV_Import!Q145))*((Auswertung!$C$8/2)*100-Auswertung!$C$9),3)</f>
        <v>3.4860000000000002</v>
      </c>
      <c r="G147">
        <f>(CSV_Import!M145-CSV_Import!$M$2)</f>
        <v>-38.910000000000011</v>
      </c>
      <c r="H147">
        <f>(CSV_Import!AC145-CSV_Import!$AC$2)</f>
        <v>27.590000000000003</v>
      </c>
    </row>
    <row r="148" spans="2:8" x14ac:dyDescent="0.25">
      <c r="B148">
        <f>(CSV_Import!F146-CSV_Import!$F$2)/1000</f>
        <v>32.200000000000003</v>
      </c>
      <c r="D148">
        <f>ROUND(TAN(RADIANS(CSV_Import!A146))*((Auswertung!$C$8*100)/2-Auswertung!$C$9),3)</f>
        <v>6.72</v>
      </c>
      <c r="E148">
        <f>ROUND(TAN(RADIANS(CSV_Import!Q146))*((Auswertung!$C$8/2)*100-Auswertung!$C$9),3)</f>
        <v>3.0150000000000001</v>
      </c>
      <c r="G148">
        <f>(CSV_Import!M146-CSV_Import!$M$2)</f>
        <v>-39.090000000000018</v>
      </c>
      <c r="H148">
        <f>(CSV_Import!AC146-CSV_Import!$AC$2)</f>
        <v>28.090000000000003</v>
      </c>
    </row>
    <row r="149" spans="2:8" x14ac:dyDescent="0.25">
      <c r="B149">
        <f>(CSV_Import!F147-CSV_Import!$F$2)/1000</f>
        <v>32.4</v>
      </c>
      <c r="D149">
        <f>ROUND(TAN(RADIANS(CSV_Import!A147))*((Auswertung!$C$8*100)/2-Auswertung!$C$9),3)</f>
        <v>6.2649999999999997</v>
      </c>
      <c r="E149">
        <f>ROUND(TAN(RADIANS(CSV_Import!Q147))*((Auswertung!$C$8/2)*100-Auswertung!$C$9),3)</f>
        <v>2.56</v>
      </c>
      <c r="G149">
        <f>(CSV_Import!M147-CSV_Import!$M$2)</f>
        <v>-39.030000000000015</v>
      </c>
      <c r="H149">
        <f>(CSV_Import!AC147-CSV_Import!$AC$2)</f>
        <v>28.330000000000013</v>
      </c>
    </row>
    <row r="150" spans="2:8" x14ac:dyDescent="0.25">
      <c r="B150">
        <f>(CSV_Import!F148-CSV_Import!$F$2)/1000</f>
        <v>32.6</v>
      </c>
      <c r="D150">
        <f>ROUND(TAN(RADIANS(CSV_Import!A148))*((Auswertung!$C$8*100)/2-Auswertung!$C$9),3)</f>
        <v>6.0060000000000002</v>
      </c>
      <c r="E150">
        <f>ROUND(TAN(RADIANS(CSV_Import!Q148))*((Auswertung!$C$8/2)*100-Auswertung!$C$9),3)</f>
        <v>2.181</v>
      </c>
      <c r="G150">
        <f>(CSV_Import!M148-CSV_Import!$M$2)</f>
        <v>-38.980000000000018</v>
      </c>
      <c r="H150">
        <f>(CSV_Import!AC148-CSV_Import!$AC$2)</f>
        <v>28.360000000000014</v>
      </c>
    </row>
    <row r="151" spans="2:8" x14ac:dyDescent="0.25">
      <c r="B151">
        <f>(CSV_Import!F149-CSV_Import!$F$2)/1000</f>
        <v>32.799999999999997</v>
      </c>
      <c r="D151">
        <f>ROUND(TAN(RADIANS(CSV_Import!A149))*((Auswertung!$C$8*100)/2-Auswertung!$C$9),3)</f>
        <v>6.0410000000000004</v>
      </c>
      <c r="E151">
        <f>ROUND(TAN(RADIANS(CSV_Import!Q149))*((Auswertung!$C$8/2)*100-Auswertung!$C$9),3)</f>
        <v>1.8580000000000001</v>
      </c>
      <c r="G151">
        <f>(CSV_Import!M149-CSV_Import!$M$2)</f>
        <v>-38.450000000000017</v>
      </c>
      <c r="H151">
        <f>(CSV_Import!AC149-CSV_Import!$AC$2)</f>
        <v>28.409999999999997</v>
      </c>
    </row>
    <row r="152" spans="2:8" x14ac:dyDescent="0.25">
      <c r="B152">
        <f>(CSV_Import!F150-CSV_Import!$F$2)/1000</f>
        <v>33</v>
      </c>
      <c r="D152">
        <f>ROUND(TAN(RADIANS(CSV_Import!A150))*((Auswertung!$C$8*100)/2-Auswertung!$C$9),3)</f>
        <v>5.6440000000000001</v>
      </c>
      <c r="E152">
        <f>ROUND(TAN(RADIANS(CSV_Import!Q150))*((Auswertung!$C$8/2)*100-Auswertung!$C$9),3)</f>
        <v>1.8540000000000001</v>
      </c>
      <c r="G152">
        <f>(CSV_Import!M150-CSV_Import!$M$2)</f>
        <v>-38.490000000000009</v>
      </c>
      <c r="H152">
        <f>(CSV_Import!AC150-CSV_Import!$AC$2)</f>
        <v>28.379999999999995</v>
      </c>
    </row>
    <row r="153" spans="2:8" x14ac:dyDescent="0.25">
      <c r="B153">
        <f>(CSV_Import!F151-CSV_Import!$F$2)/1000</f>
        <v>33.200000000000003</v>
      </c>
      <c r="D153">
        <f>ROUND(TAN(RADIANS(CSV_Import!A151))*((Auswertung!$C$8*100)/2-Auswertung!$C$9),3)</f>
        <v>5.7889999999999997</v>
      </c>
      <c r="E153">
        <f>ROUND(TAN(RADIANS(CSV_Import!Q151))*((Auswertung!$C$8/2)*100-Auswertung!$C$9),3)</f>
        <v>1.7010000000000001</v>
      </c>
      <c r="G153">
        <f>(CSV_Import!M151-CSV_Import!$M$2)</f>
        <v>-38.830000000000013</v>
      </c>
      <c r="H153">
        <f>(CSV_Import!AC151-CSV_Import!$AC$2)</f>
        <v>28.03</v>
      </c>
    </row>
    <row r="154" spans="2:8" x14ac:dyDescent="0.25">
      <c r="B154">
        <f>(CSV_Import!F152-CSV_Import!$F$2)/1000</f>
        <v>33.4</v>
      </c>
      <c r="D154">
        <f>ROUND(TAN(RADIANS(CSV_Import!A152))*((Auswertung!$C$8*100)/2-Auswertung!$C$9),3)</f>
        <v>6.13</v>
      </c>
      <c r="E154">
        <f>ROUND(TAN(RADIANS(CSV_Import!Q152))*((Auswertung!$C$8/2)*100-Auswertung!$C$9),3)</f>
        <v>1.764</v>
      </c>
      <c r="G154">
        <f>(CSV_Import!M152-CSV_Import!$M$2)</f>
        <v>-38.840000000000018</v>
      </c>
      <c r="H154">
        <f>(CSV_Import!AC152-CSV_Import!$AC$2)</f>
        <v>28.349999999999994</v>
      </c>
    </row>
    <row r="155" spans="2:8" x14ac:dyDescent="0.25">
      <c r="B155">
        <f>(CSV_Import!F153-CSV_Import!$F$2)/1000</f>
        <v>33.6</v>
      </c>
      <c r="D155">
        <f>ROUND(TAN(RADIANS(CSV_Import!A153))*((Auswertung!$C$8*100)/2-Auswertung!$C$9),3)</f>
        <v>5.7720000000000002</v>
      </c>
      <c r="E155">
        <f>ROUND(TAN(RADIANS(CSV_Import!Q153))*((Auswertung!$C$8/2)*100-Auswertung!$C$9),3)</f>
        <v>2.0449999999999999</v>
      </c>
      <c r="G155">
        <f>(CSV_Import!M153-CSV_Import!$M$2)</f>
        <v>-39.070000000000007</v>
      </c>
      <c r="H155">
        <f>(CSV_Import!AC153-CSV_Import!$AC$2)</f>
        <v>27.760000000000019</v>
      </c>
    </row>
    <row r="156" spans="2:8" x14ac:dyDescent="0.25">
      <c r="B156">
        <f>(CSV_Import!F154-CSV_Import!$F$2)/1000</f>
        <v>33.799999999999997</v>
      </c>
      <c r="D156">
        <f>ROUND(TAN(RADIANS(CSV_Import!A154))*((Auswertung!$C$8*100)/2-Auswertung!$C$9),3)</f>
        <v>6.4560000000000004</v>
      </c>
      <c r="E156">
        <f>ROUND(TAN(RADIANS(CSV_Import!Q154))*((Auswertung!$C$8/2)*100-Auswertung!$C$9),3)</f>
        <v>2.6789999999999998</v>
      </c>
      <c r="G156">
        <f>(CSV_Import!M154-CSV_Import!$M$2)</f>
        <v>-38.570000000000007</v>
      </c>
      <c r="H156">
        <f>(CSV_Import!AC154-CSV_Import!$AC$2)</f>
        <v>27.870000000000005</v>
      </c>
    </row>
    <row r="157" spans="2:8" x14ac:dyDescent="0.25">
      <c r="B157">
        <f>(CSV_Import!F155-CSV_Import!$F$2)/1000</f>
        <v>34</v>
      </c>
      <c r="D157">
        <f>ROUND(TAN(RADIANS(CSV_Import!A155))*((Auswertung!$C$8*100)/2-Auswertung!$C$9),3)</f>
        <v>6.8250000000000002</v>
      </c>
      <c r="E157">
        <f>ROUND(TAN(RADIANS(CSV_Import!Q155))*((Auswertung!$C$8/2)*100-Auswertung!$C$9),3)</f>
        <v>3.1059999999999999</v>
      </c>
      <c r="G157">
        <f>(CSV_Import!M155-CSV_Import!$M$2)</f>
        <v>-39.070000000000007</v>
      </c>
      <c r="H157">
        <f>(CSV_Import!AC155-CSV_Import!$AC$2)</f>
        <v>27.920000000000016</v>
      </c>
    </row>
    <row r="158" spans="2:8" x14ac:dyDescent="0.25">
      <c r="B158">
        <f>(CSV_Import!F156-CSV_Import!$F$2)/1000</f>
        <v>34.200000000000003</v>
      </c>
      <c r="D158">
        <f>ROUND(TAN(RADIANS(CSV_Import!A156))*((Auswertung!$C$8*100)/2-Auswertung!$C$9),3)</f>
        <v>7.282</v>
      </c>
      <c r="E158">
        <f>ROUND(TAN(RADIANS(CSV_Import!Q156))*((Auswertung!$C$8/2)*100-Auswertung!$C$9),3)</f>
        <v>3.5179999999999998</v>
      </c>
      <c r="G158">
        <f>(CSV_Import!M156-CSV_Import!$M$2)</f>
        <v>-38.800000000000011</v>
      </c>
      <c r="H158">
        <f>(CSV_Import!AC156-CSV_Import!$AC$2)</f>
        <v>28.050000000000011</v>
      </c>
    </row>
    <row r="159" spans="2:8" x14ac:dyDescent="0.25">
      <c r="B159">
        <f>(CSV_Import!F157-CSV_Import!$F$2)/1000</f>
        <v>34.4</v>
      </c>
      <c r="D159">
        <f>ROUND(TAN(RADIANS(CSV_Import!A157))*((Auswertung!$C$8*100)/2-Auswertung!$C$9),3)</f>
        <v>7.7960000000000003</v>
      </c>
      <c r="E159">
        <f>ROUND(TAN(RADIANS(CSV_Import!Q157))*((Auswertung!$C$8/2)*100-Auswertung!$C$9),3)</f>
        <v>4.0129999999999999</v>
      </c>
      <c r="G159">
        <f>(CSV_Import!M157-CSV_Import!$M$2)</f>
        <v>-39.15000000000002</v>
      </c>
      <c r="H159">
        <f>(CSV_Import!AC157-CSV_Import!$AC$2)</f>
        <v>27.330000000000013</v>
      </c>
    </row>
    <row r="160" spans="2:8" x14ac:dyDescent="0.25">
      <c r="B160">
        <f>(CSV_Import!F158-CSV_Import!$F$2)/1000</f>
        <v>34.6</v>
      </c>
      <c r="D160">
        <f>ROUND(TAN(RADIANS(CSV_Import!A158))*((Auswertung!$C$8*100)/2-Auswertung!$C$9),3)</f>
        <v>8.1189999999999998</v>
      </c>
      <c r="E160">
        <f>ROUND(TAN(RADIANS(CSV_Import!Q158))*((Auswertung!$C$8/2)*100-Auswertung!$C$9),3)</f>
        <v>4.351</v>
      </c>
      <c r="G160">
        <f>(CSV_Import!M158-CSV_Import!$M$2)</f>
        <v>-39.050000000000011</v>
      </c>
      <c r="H160">
        <f>(CSV_Import!AC158-CSV_Import!$AC$2)</f>
        <v>27.650000000000006</v>
      </c>
    </row>
    <row r="161" spans="2:8" x14ac:dyDescent="0.25">
      <c r="B161">
        <f>(CSV_Import!F159-CSV_Import!$F$2)/1000</f>
        <v>34.799999999999997</v>
      </c>
      <c r="D161">
        <f>ROUND(TAN(RADIANS(CSV_Import!A159))*((Auswertung!$C$8*100)/2-Auswertung!$C$9),3)</f>
        <v>8.7170000000000005</v>
      </c>
      <c r="E161">
        <f>ROUND(TAN(RADIANS(CSV_Import!Q159))*((Auswertung!$C$8/2)*100-Auswertung!$C$9),3)</f>
        <v>4.6310000000000002</v>
      </c>
      <c r="G161">
        <f>(CSV_Import!M159-CSV_Import!$M$2)</f>
        <v>-39.440000000000012</v>
      </c>
      <c r="H161">
        <f>(CSV_Import!AC159-CSV_Import!$AC$2)</f>
        <v>27.420000000000016</v>
      </c>
    </row>
    <row r="162" spans="2:8" x14ac:dyDescent="0.25">
      <c r="B162">
        <f>(CSV_Import!F160-CSV_Import!$F$2)/1000</f>
        <v>35</v>
      </c>
      <c r="D162">
        <f>ROUND(TAN(RADIANS(CSV_Import!A160))*((Auswertung!$C$8*100)/2-Auswertung!$C$9),3)</f>
        <v>9.1370000000000005</v>
      </c>
      <c r="E162">
        <f>ROUND(TAN(RADIANS(CSV_Import!Q160))*((Auswertung!$C$8/2)*100-Auswertung!$C$9),3)</f>
        <v>6.1719999999999997</v>
      </c>
      <c r="G162">
        <f>(CSV_Import!M160-CSV_Import!$M$2)</f>
        <v>-38.690000000000012</v>
      </c>
      <c r="H162">
        <f>(CSV_Import!AC160-CSV_Import!$AC$2)</f>
        <v>27.320000000000022</v>
      </c>
    </row>
    <row r="163" spans="2:8" x14ac:dyDescent="0.25">
      <c r="B163">
        <f>(CSV_Import!F161-CSV_Import!$F$2)/1000</f>
        <v>35.200000000000003</v>
      </c>
      <c r="D163">
        <f>ROUND(TAN(RADIANS(CSV_Import!A161))*((Auswertung!$C$8*100)/2-Auswertung!$C$9),3)</f>
        <v>9.6300000000000008</v>
      </c>
      <c r="E163">
        <f>ROUND(TAN(RADIANS(CSV_Import!Q161))*((Auswertung!$C$8/2)*100-Auswertung!$C$9),3)</f>
        <v>5.9459999999999997</v>
      </c>
      <c r="G163">
        <f>(CSV_Import!M161-CSV_Import!$M$2)</f>
        <v>-38.950000000000017</v>
      </c>
      <c r="H163">
        <f>(CSV_Import!AC161-CSV_Import!$AC$2)</f>
        <v>26.820000000000022</v>
      </c>
    </row>
    <row r="164" spans="2:8" x14ac:dyDescent="0.25">
      <c r="B164">
        <f>(CSV_Import!F162-CSV_Import!$F$2)/1000</f>
        <v>35.4</v>
      </c>
      <c r="D164">
        <f>ROUND(TAN(RADIANS(CSV_Import!A162))*((Auswertung!$C$8*100)/2-Auswertung!$C$9),3)</f>
        <v>10.214</v>
      </c>
      <c r="E164">
        <f>ROUND(TAN(RADIANS(CSV_Import!Q162))*((Auswertung!$C$8/2)*100-Auswertung!$C$9),3)</f>
        <v>6.8490000000000002</v>
      </c>
      <c r="G164">
        <f>(CSV_Import!M162-CSV_Import!$M$2)</f>
        <v>-38.820000000000007</v>
      </c>
      <c r="H164">
        <f>(CSV_Import!AC162-CSV_Import!$AC$2)</f>
        <v>26.930000000000007</v>
      </c>
    </row>
    <row r="165" spans="2:8" x14ac:dyDescent="0.25">
      <c r="B165">
        <f>(CSV_Import!F163-CSV_Import!$F$2)/1000</f>
        <v>35.6</v>
      </c>
      <c r="D165">
        <f>ROUND(TAN(RADIANS(CSV_Import!A163))*((Auswertung!$C$8*100)/2-Auswertung!$C$9),3)</f>
        <v>10.208</v>
      </c>
      <c r="E165">
        <f>ROUND(TAN(RADIANS(CSV_Import!Q163))*((Auswertung!$C$8/2)*100-Auswertung!$C$9),3)</f>
        <v>6.2220000000000004</v>
      </c>
      <c r="G165">
        <f>(CSV_Import!M163-CSV_Import!$M$2)</f>
        <v>-38.640000000000015</v>
      </c>
      <c r="H165">
        <f>(CSV_Import!AC163-CSV_Import!$AC$2)</f>
        <v>27.349999999999994</v>
      </c>
    </row>
    <row r="166" spans="2:8" x14ac:dyDescent="0.25">
      <c r="B166">
        <f>(CSV_Import!F164-CSV_Import!$F$2)/1000</f>
        <v>35.799999999999997</v>
      </c>
      <c r="D166">
        <f>ROUND(TAN(RADIANS(CSV_Import!A164))*((Auswertung!$C$8*100)/2-Auswertung!$C$9),3)</f>
        <v>10.7</v>
      </c>
      <c r="E166">
        <f>ROUND(TAN(RADIANS(CSV_Import!Q164))*((Auswertung!$C$8/2)*100-Auswertung!$C$9),3)</f>
        <v>6.5709999999999997</v>
      </c>
      <c r="G166">
        <f>(CSV_Import!M164-CSV_Import!$M$2)</f>
        <v>-38.350000000000009</v>
      </c>
      <c r="H166">
        <f>(CSV_Import!AC164-CSV_Import!$AC$2)</f>
        <v>26.840000000000003</v>
      </c>
    </row>
    <row r="167" spans="2:8" x14ac:dyDescent="0.25">
      <c r="B167">
        <f>(CSV_Import!F165-CSV_Import!$F$2)/1000</f>
        <v>36</v>
      </c>
      <c r="D167">
        <f>ROUND(TAN(RADIANS(CSV_Import!A165))*((Auswertung!$C$8*100)/2-Auswertung!$C$9),3)</f>
        <v>10.771000000000001</v>
      </c>
      <c r="E167">
        <f>ROUND(TAN(RADIANS(CSV_Import!Q165))*((Auswertung!$C$8/2)*100-Auswertung!$C$9),3)</f>
        <v>6.7089999999999996</v>
      </c>
      <c r="G167">
        <f>(CSV_Import!M165-CSV_Import!$M$2)</f>
        <v>-38.210000000000008</v>
      </c>
      <c r="H167">
        <f>(CSV_Import!AC165-CSV_Import!$AC$2)</f>
        <v>27.310000000000002</v>
      </c>
    </row>
    <row r="168" spans="2:8" x14ac:dyDescent="0.25">
      <c r="B168">
        <f>(CSV_Import!F166-CSV_Import!$F$2)/1000</f>
        <v>36.200000000000003</v>
      </c>
      <c r="D168">
        <f>ROUND(TAN(RADIANS(CSV_Import!A166))*((Auswertung!$C$8*100)/2-Auswertung!$C$9),3)</f>
        <v>10.680999999999999</v>
      </c>
      <c r="E168">
        <f>ROUND(TAN(RADIANS(CSV_Import!Q166))*((Auswertung!$C$8/2)*100-Auswertung!$C$9),3)</f>
        <v>6.5110000000000001</v>
      </c>
      <c r="G168">
        <f>(CSV_Import!M166-CSV_Import!$M$2)</f>
        <v>-38.480000000000018</v>
      </c>
      <c r="H168">
        <f>(CSV_Import!AC166-CSV_Import!$AC$2)</f>
        <v>27.140000000000015</v>
      </c>
    </row>
    <row r="169" spans="2:8" x14ac:dyDescent="0.25">
      <c r="B169">
        <f>(CSV_Import!F167-CSV_Import!$F$2)/1000</f>
        <v>36.4</v>
      </c>
      <c r="D169">
        <f>ROUND(TAN(RADIANS(CSV_Import!A167))*((Auswertung!$C$8*100)/2-Auswertung!$C$9),3)</f>
        <v>10.615</v>
      </c>
      <c r="E169">
        <f>ROUND(TAN(RADIANS(CSV_Import!Q167))*((Auswertung!$C$8/2)*100-Auswertung!$C$9),3)</f>
        <v>6.1429999999999998</v>
      </c>
      <c r="G169">
        <f>(CSV_Import!M167-CSV_Import!$M$2)</f>
        <v>-38.320000000000007</v>
      </c>
      <c r="H169">
        <f>(CSV_Import!AC167-CSV_Import!$AC$2)</f>
        <v>27.590000000000003</v>
      </c>
    </row>
    <row r="170" spans="2:8" x14ac:dyDescent="0.25">
      <c r="B170">
        <f>(CSV_Import!F168-CSV_Import!$F$2)/1000</f>
        <v>36.6</v>
      </c>
      <c r="D170">
        <f>ROUND(TAN(RADIANS(CSV_Import!A168))*((Auswertung!$C$8*100)/2-Auswertung!$C$9),3)</f>
        <v>10.178000000000001</v>
      </c>
      <c r="E170">
        <f>ROUND(TAN(RADIANS(CSV_Import!Q168))*((Auswertung!$C$8/2)*100-Auswertung!$C$9),3)</f>
        <v>6.7549999999999999</v>
      </c>
      <c r="G170">
        <f>(CSV_Import!M168-CSV_Import!$M$2)</f>
        <v>-38.470000000000013</v>
      </c>
      <c r="H170">
        <f>(CSV_Import!AC168-CSV_Import!$AC$2)</f>
        <v>26.950000000000017</v>
      </c>
    </row>
    <row r="171" spans="2:8" x14ac:dyDescent="0.25">
      <c r="B171">
        <f>(CSV_Import!F169-CSV_Import!$F$2)/1000</f>
        <v>36.799999999999997</v>
      </c>
      <c r="D171">
        <f>ROUND(TAN(RADIANS(CSV_Import!A169))*((Auswertung!$C$8*100)/2-Auswertung!$C$9),3)</f>
        <v>9.8049999999999997</v>
      </c>
      <c r="E171">
        <f>ROUND(TAN(RADIANS(CSV_Import!Q169))*((Auswertung!$C$8/2)*100-Auswertung!$C$9),3)</f>
        <v>6.6630000000000003</v>
      </c>
      <c r="G171">
        <f>(CSV_Import!M169-CSV_Import!$M$2)</f>
        <v>-38.510000000000019</v>
      </c>
      <c r="H171">
        <f>(CSV_Import!AC169-CSV_Import!$AC$2)</f>
        <v>27.120000000000005</v>
      </c>
    </row>
    <row r="172" spans="2:8" x14ac:dyDescent="0.25">
      <c r="B172">
        <f>(CSV_Import!F170-CSV_Import!$F$2)/1000</f>
        <v>37</v>
      </c>
      <c r="D172">
        <f>ROUND(TAN(RADIANS(CSV_Import!A170))*((Auswertung!$C$8*100)/2-Auswertung!$C$9),3)</f>
        <v>9.3889999999999993</v>
      </c>
      <c r="E172">
        <f>ROUND(TAN(RADIANS(CSV_Import!Q170))*((Auswertung!$C$8/2)*100-Auswertung!$C$9),3)</f>
        <v>6.3129999999999997</v>
      </c>
      <c r="G172">
        <f>(CSV_Import!M170-CSV_Import!$M$2)</f>
        <v>-38.38000000000001</v>
      </c>
      <c r="H172">
        <f>(CSV_Import!AC170-CSV_Import!$AC$2)</f>
        <v>27.050000000000011</v>
      </c>
    </row>
    <row r="173" spans="2:8" x14ac:dyDescent="0.25">
      <c r="B173">
        <f>(CSV_Import!F171-CSV_Import!$F$2)/1000</f>
        <v>37.200000000000003</v>
      </c>
      <c r="D173">
        <f>ROUND(TAN(RADIANS(CSV_Import!A171))*((Auswertung!$C$8*100)/2-Auswertung!$C$9),3)</f>
        <v>9.1059999999999999</v>
      </c>
      <c r="E173">
        <f>ROUND(TAN(RADIANS(CSV_Import!Q171))*((Auswertung!$C$8/2)*100-Auswertung!$C$9),3)</f>
        <v>5.16</v>
      </c>
      <c r="G173">
        <f>(CSV_Import!M171-CSV_Import!$M$2)</f>
        <v>-38.410000000000011</v>
      </c>
      <c r="H173">
        <f>(CSV_Import!AC171-CSV_Import!$AC$2)</f>
        <v>27.180000000000007</v>
      </c>
    </row>
    <row r="174" spans="2:8" x14ac:dyDescent="0.25">
      <c r="B174">
        <f>(CSV_Import!F172-CSV_Import!$F$2)/1000</f>
        <v>37.4</v>
      </c>
      <c r="D174">
        <f>ROUND(TAN(RADIANS(CSV_Import!A172))*((Auswertung!$C$8*100)/2-Auswertung!$C$9),3)</f>
        <v>8.5220000000000002</v>
      </c>
      <c r="E174">
        <f>ROUND(TAN(RADIANS(CSV_Import!Q172))*((Auswertung!$C$8/2)*100-Auswertung!$C$9),3)</f>
        <v>5.5609999999999999</v>
      </c>
      <c r="G174">
        <f>(CSV_Import!M172-CSV_Import!$M$2)</f>
        <v>-38.690000000000012</v>
      </c>
      <c r="H174">
        <f>(CSV_Import!AC172-CSV_Import!$AC$2)</f>
        <v>27.349999999999994</v>
      </c>
    </row>
    <row r="175" spans="2:8" x14ac:dyDescent="0.25">
      <c r="B175">
        <f>(CSV_Import!F173-CSV_Import!$F$2)/1000</f>
        <v>37.6</v>
      </c>
      <c r="D175">
        <f>ROUND(TAN(RADIANS(CSV_Import!A173))*((Auswertung!$C$8*100)/2-Auswertung!$C$9),3)</f>
        <v>8.4779999999999998</v>
      </c>
      <c r="E175">
        <f>ROUND(TAN(RADIANS(CSV_Import!Q173))*((Auswertung!$C$8/2)*100-Auswertung!$C$9),3)</f>
        <v>5.31</v>
      </c>
      <c r="G175">
        <f>(CSV_Import!M173-CSV_Import!$M$2)</f>
        <v>-38.52000000000001</v>
      </c>
      <c r="H175">
        <f>(CSV_Import!AC173-CSV_Import!$AC$2)</f>
        <v>27.570000000000022</v>
      </c>
    </row>
    <row r="176" spans="2:8" x14ac:dyDescent="0.25">
      <c r="B176">
        <f>(CSV_Import!F174-CSV_Import!$F$2)/1000</f>
        <v>37.799999999999997</v>
      </c>
      <c r="D176">
        <f>ROUND(TAN(RADIANS(CSV_Import!A174))*((Auswertung!$C$8*100)/2-Auswertung!$C$9),3)</f>
        <v>8.3870000000000005</v>
      </c>
      <c r="E176">
        <f>ROUND(TAN(RADIANS(CSV_Import!Q174))*((Auswertung!$C$8/2)*100-Auswertung!$C$9),3)</f>
        <v>5.218</v>
      </c>
      <c r="G176">
        <f>(CSV_Import!M174-CSV_Import!$M$2)</f>
        <v>-38.280000000000015</v>
      </c>
      <c r="H176">
        <f>(CSV_Import!AC174-CSV_Import!$AC$2)</f>
        <v>27.54000000000002</v>
      </c>
    </row>
    <row r="177" spans="2:8" x14ac:dyDescent="0.25">
      <c r="B177">
        <f>(CSV_Import!F175-CSV_Import!$F$2)/1000</f>
        <v>38</v>
      </c>
      <c r="D177">
        <f>ROUND(TAN(RADIANS(CSV_Import!A175))*((Auswertung!$C$8*100)/2-Auswertung!$C$9),3)</f>
        <v>8.3520000000000003</v>
      </c>
      <c r="E177">
        <f>ROUND(TAN(RADIANS(CSV_Import!Q175))*((Auswertung!$C$8/2)*100-Auswertung!$C$9),3)</f>
        <v>4.952</v>
      </c>
      <c r="G177">
        <f>(CSV_Import!M175-CSV_Import!$M$2)</f>
        <v>-38.04000000000002</v>
      </c>
      <c r="H177">
        <f>(CSV_Import!AC175-CSV_Import!$AC$2)</f>
        <v>27.840000000000003</v>
      </c>
    </row>
    <row r="178" spans="2:8" x14ac:dyDescent="0.25">
      <c r="B178">
        <f>(CSV_Import!F176-CSV_Import!$F$2)/1000</f>
        <v>38.200000000000003</v>
      </c>
      <c r="D178">
        <f>ROUND(TAN(RADIANS(CSV_Import!A176))*((Auswertung!$C$8*100)/2-Auswertung!$C$9),3)</f>
        <v>8.3010000000000002</v>
      </c>
      <c r="E178">
        <f>ROUND(TAN(RADIANS(CSV_Import!Q176))*((Auswertung!$C$8/2)*100-Auswertung!$C$9),3)</f>
        <v>4.8810000000000002</v>
      </c>
      <c r="G178">
        <f>(CSV_Import!M176-CSV_Import!$M$2)</f>
        <v>-38.310000000000016</v>
      </c>
      <c r="H178">
        <f>(CSV_Import!AC176-CSV_Import!$AC$2)</f>
        <v>27.650000000000006</v>
      </c>
    </row>
    <row r="179" spans="2:8" x14ac:dyDescent="0.25">
      <c r="B179">
        <f>(CSV_Import!F177-CSV_Import!$F$2)/1000</f>
        <v>38.4</v>
      </c>
      <c r="D179">
        <f>ROUND(TAN(RADIANS(CSV_Import!A177))*((Auswertung!$C$8*100)/2-Auswertung!$C$9),3)</f>
        <v>8.0619999999999994</v>
      </c>
      <c r="E179">
        <f>ROUND(TAN(RADIANS(CSV_Import!Q177))*((Auswertung!$C$8/2)*100-Auswertung!$C$9),3)</f>
        <v>4.88</v>
      </c>
      <c r="G179">
        <f>(CSV_Import!M177-CSV_Import!$M$2)</f>
        <v>-38.950000000000017</v>
      </c>
      <c r="H179">
        <f>(CSV_Import!AC177-CSV_Import!$AC$2)</f>
        <v>27.5</v>
      </c>
    </row>
    <row r="180" spans="2:8" x14ac:dyDescent="0.25">
      <c r="B180">
        <f>(CSV_Import!F178-CSV_Import!$F$2)/1000</f>
        <v>38.6</v>
      </c>
      <c r="D180">
        <f>ROUND(TAN(RADIANS(CSV_Import!A178))*((Auswertung!$C$8*100)/2-Auswertung!$C$9),3)</f>
        <v>8.1059999999999999</v>
      </c>
      <c r="E180">
        <f>ROUND(TAN(RADIANS(CSV_Import!Q178))*((Auswertung!$C$8/2)*100-Auswertung!$C$9),3)</f>
        <v>4.9740000000000002</v>
      </c>
      <c r="G180">
        <f>(CSV_Import!M178-CSV_Import!$M$2)</f>
        <v>-38.360000000000014</v>
      </c>
      <c r="H180">
        <f>(CSV_Import!AC178-CSV_Import!$AC$2)</f>
        <v>27.050000000000011</v>
      </c>
    </row>
    <row r="181" spans="2:8" x14ac:dyDescent="0.25">
      <c r="B181">
        <f>(CSV_Import!F179-CSV_Import!$F$2)/1000</f>
        <v>38.799999999999997</v>
      </c>
      <c r="D181">
        <f>ROUND(TAN(RADIANS(CSV_Import!A179))*((Auswertung!$C$8*100)/2-Auswertung!$C$9),3)</f>
        <v>8.3699999999999992</v>
      </c>
      <c r="E181">
        <f>ROUND(TAN(RADIANS(CSV_Import!Q179))*((Auswertung!$C$8/2)*100-Auswertung!$C$9),3)</f>
        <v>5.1529999999999996</v>
      </c>
      <c r="G181">
        <f>(CSV_Import!M179-CSV_Import!$M$2)</f>
        <v>-38.030000000000015</v>
      </c>
      <c r="H181">
        <f>(CSV_Import!AC179-CSV_Import!$AC$2)</f>
        <v>27.52000000000001</v>
      </c>
    </row>
    <row r="182" spans="2:8" x14ac:dyDescent="0.25">
      <c r="B182">
        <f>(CSV_Import!F180-CSV_Import!$F$2)/1000</f>
        <v>39</v>
      </c>
      <c r="D182">
        <f>ROUND(TAN(RADIANS(CSV_Import!A180))*((Auswertung!$C$8*100)/2-Auswertung!$C$9),3)</f>
        <v>8.6010000000000009</v>
      </c>
      <c r="E182">
        <f>ROUND(TAN(RADIANS(CSV_Import!Q180))*((Auswertung!$C$8/2)*100-Auswertung!$C$9),3)</f>
        <v>5.2750000000000004</v>
      </c>
      <c r="G182">
        <f>(CSV_Import!M180-CSV_Import!$M$2)</f>
        <v>-38.280000000000015</v>
      </c>
      <c r="H182">
        <f>(CSV_Import!AC180-CSV_Import!$AC$2)</f>
        <v>27.580000000000013</v>
      </c>
    </row>
    <row r="183" spans="2:8" x14ac:dyDescent="0.25">
      <c r="B183">
        <f>(CSV_Import!F181-CSV_Import!$F$2)/1000</f>
        <v>39.200000000000003</v>
      </c>
      <c r="D183">
        <f>ROUND(TAN(RADIANS(CSV_Import!A181))*((Auswertung!$C$8*100)/2-Auswertung!$C$9),3)</f>
        <v>9.0079999999999991</v>
      </c>
      <c r="E183">
        <f>ROUND(TAN(RADIANS(CSV_Import!Q181))*((Auswertung!$C$8/2)*100-Auswertung!$C$9),3)</f>
        <v>4.6420000000000003</v>
      </c>
      <c r="G183">
        <f>(CSV_Import!M181-CSV_Import!$M$2)</f>
        <v>-38.13000000000001</v>
      </c>
      <c r="H183">
        <f>(CSV_Import!AC181-CSV_Import!$AC$2)</f>
        <v>27.670000000000016</v>
      </c>
    </row>
    <row r="184" spans="2:8" x14ac:dyDescent="0.25">
      <c r="B184">
        <f>(CSV_Import!F182-CSV_Import!$F$2)/1000</f>
        <v>39.4</v>
      </c>
      <c r="D184">
        <f>ROUND(TAN(RADIANS(CSV_Import!A182))*((Auswertung!$C$8*100)/2-Auswertung!$C$9),3)</f>
        <v>9.0239999999999991</v>
      </c>
      <c r="E184">
        <f>ROUND(TAN(RADIANS(CSV_Import!Q182))*((Auswertung!$C$8/2)*100-Auswertung!$C$9),3)</f>
        <v>5.6559999999999997</v>
      </c>
      <c r="G184">
        <f>(CSV_Import!M182-CSV_Import!$M$2)</f>
        <v>-37.860000000000014</v>
      </c>
      <c r="H184">
        <f>(CSV_Import!AC182-CSV_Import!$AC$2)</f>
        <v>27.599999999999994</v>
      </c>
    </row>
    <row r="185" spans="2:8" x14ac:dyDescent="0.25">
      <c r="B185">
        <f>(CSV_Import!F183-CSV_Import!$F$2)/1000</f>
        <v>39.6</v>
      </c>
      <c r="D185">
        <f>ROUND(TAN(RADIANS(CSV_Import!A183))*((Auswertung!$C$8*100)/2-Auswertung!$C$9),3)</f>
        <v>9.2159999999999993</v>
      </c>
      <c r="E185">
        <f>ROUND(TAN(RADIANS(CSV_Import!Q183))*((Auswertung!$C$8/2)*100-Auswertung!$C$9),3)</f>
        <v>6.0679999999999996</v>
      </c>
      <c r="G185">
        <f>(CSV_Import!M183-CSV_Import!$M$2)</f>
        <v>-38.080000000000013</v>
      </c>
      <c r="H185">
        <f>(CSV_Import!AC183-CSV_Import!$AC$2)</f>
        <v>27.570000000000022</v>
      </c>
    </row>
    <row r="186" spans="2:8" x14ac:dyDescent="0.25">
      <c r="B186">
        <f>(CSV_Import!F184-CSV_Import!$F$2)/1000</f>
        <v>39.799999999999997</v>
      </c>
      <c r="D186">
        <f>ROUND(TAN(RADIANS(CSV_Import!A184))*((Auswertung!$C$8*100)/2-Auswertung!$C$9),3)</f>
        <v>9.3460000000000001</v>
      </c>
      <c r="E186">
        <f>ROUND(TAN(RADIANS(CSV_Import!Q184))*((Auswertung!$C$8/2)*100-Auswertung!$C$9),3)</f>
        <v>6.335</v>
      </c>
      <c r="G186">
        <f>(CSV_Import!M184-CSV_Import!$M$2)</f>
        <v>-38.460000000000008</v>
      </c>
      <c r="H186">
        <f>(CSV_Import!AC184-CSV_Import!$AC$2)</f>
        <v>27.159999999999997</v>
      </c>
    </row>
    <row r="187" spans="2:8" x14ac:dyDescent="0.25">
      <c r="B187">
        <f>(CSV_Import!F185-CSV_Import!$F$2)/1000</f>
        <v>40</v>
      </c>
      <c r="D187">
        <f>ROUND(TAN(RADIANS(CSV_Import!A185))*((Auswertung!$C$8*100)/2-Auswertung!$C$9),3)</f>
        <v>9.6359999999999992</v>
      </c>
      <c r="E187">
        <f>ROUND(TAN(RADIANS(CSV_Import!Q185))*((Auswertung!$C$8/2)*100-Auswertung!$C$9),3)</f>
        <v>6.3179999999999996</v>
      </c>
      <c r="G187">
        <f>(CSV_Import!M185-CSV_Import!$M$2)</f>
        <v>-38.280000000000015</v>
      </c>
      <c r="H187">
        <f>(CSV_Import!AC185-CSV_Import!$AC$2)</f>
        <v>27.120000000000005</v>
      </c>
    </row>
    <row r="188" spans="2:8" x14ac:dyDescent="0.25">
      <c r="B188">
        <f>(CSV_Import!F186-CSV_Import!$F$2)/1000</f>
        <v>40.200000000000003</v>
      </c>
      <c r="D188">
        <f>ROUND(TAN(RADIANS(CSV_Import!A186))*((Auswertung!$C$8*100)/2-Auswertung!$C$9),3)</f>
        <v>9.8140000000000001</v>
      </c>
      <c r="E188">
        <f>ROUND(TAN(RADIANS(CSV_Import!Q186))*((Auswertung!$C$8/2)*100-Auswertung!$C$9),3)</f>
        <v>6.577</v>
      </c>
      <c r="G188">
        <f>(CSV_Import!M186-CSV_Import!$M$2)</f>
        <v>-37.970000000000013</v>
      </c>
      <c r="H188">
        <f>(CSV_Import!AC186-CSV_Import!$AC$2)</f>
        <v>27.120000000000005</v>
      </c>
    </row>
    <row r="189" spans="2:8" x14ac:dyDescent="0.25">
      <c r="B189">
        <f>(CSV_Import!F187-CSV_Import!$F$2)/1000</f>
        <v>40.4</v>
      </c>
      <c r="D189">
        <f>ROUND(TAN(RADIANS(CSV_Import!A187))*((Auswertung!$C$8*100)/2-Auswertung!$C$9),3)</f>
        <v>9.7799999999999994</v>
      </c>
      <c r="E189">
        <f>ROUND(TAN(RADIANS(CSV_Import!Q187))*((Auswertung!$C$8/2)*100-Auswertung!$C$9),3)</f>
        <v>5.8609999999999998</v>
      </c>
      <c r="G189">
        <f>(CSV_Import!M187-CSV_Import!$M$2)</f>
        <v>-38.120000000000019</v>
      </c>
      <c r="H189">
        <f>(CSV_Import!AC187-CSV_Import!$AC$2)</f>
        <v>27.25</v>
      </c>
    </row>
    <row r="190" spans="2:8" x14ac:dyDescent="0.25">
      <c r="B190">
        <f>(CSV_Import!F188-CSV_Import!$F$2)/1000</f>
        <v>40.6</v>
      </c>
      <c r="D190">
        <f>ROUND(TAN(RADIANS(CSV_Import!A188))*((Auswertung!$C$8*100)/2-Auswertung!$C$9),3)</f>
        <v>10.048999999999999</v>
      </c>
      <c r="E190">
        <f>ROUND(TAN(RADIANS(CSV_Import!Q188))*((Auswertung!$C$8/2)*100-Auswertung!$C$9),3)</f>
        <v>5.9039999999999999</v>
      </c>
      <c r="G190">
        <f>(CSV_Import!M188-CSV_Import!$M$2)</f>
        <v>-38.190000000000012</v>
      </c>
      <c r="H190">
        <f>(CSV_Import!AC188-CSV_Import!$AC$2)</f>
        <v>27.430000000000007</v>
      </c>
    </row>
    <row r="191" spans="2:8" x14ac:dyDescent="0.25">
      <c r="B191">
        <f>(CSV_Import!F189-CSV_Import!$F$2)/1000</f>
        <v>40.799999999999997</v>
      </c>
      <c r="D191">
        <f>ROUND(TAN(RADIANS(CSV_Import!A189))*((Auswertung!$C$8*100)/2-Auswertung!$C$9),3)</f>
        <v>10.159000000000001</v>
      </c>
      <c r="E191">
        <f>ROUND(TAN(RADIANS(CSV_Import!Q189))*((Auswertung!$C$8/2)*100-Auswertung!$C$9),3)</f>
        <v>5.9550000000000001</v>
      </c>
      <c r="G191">
        <f>(CSV_Import!M189-CSV_Import!$M$2)</f>
        <v>-37.65000000000002</v>
      </c>
      <c r="H191">
        <f>(CSV_Import!AC189-CSV_Import!$AC$2)</f>
        <v>27.740000000000009</v>
      </c>
    </row>
    <row r="192" spans="2:8" x14ac:dyDescent="0.25">
      <c r="B192">
        <f>(CSV_Import!F190-CSV_Import!$F$2)/1000</f>
        <v>41</v>
      </c>
      <c r="D192">
        <f>ROUND(TAN(RADIANS(CSV_Import!A190))*((Auswertung!$C$8*100)/2-Auswertung!$C$9),3)</f>
        <v>10.065</v>
      </c>
      <c r="E192">
        <f>ROUND(TAN(RADIANS(CSV_Import!Q190))*((Auswertung!$C$8/2)*100-Auswertung!$C$9),3)</f>
        <v>5.7919999999999998</v>
      </c>
      <c r="G192">
        <f>(CSV_Import!M190-CSV_Import!$M$2)</f>
        <v>-37.88000000000001</v>
      </c>
      <c r="H192">
        <f>(CSV_Import!AC190-CSV_Import!$AC$2)</f>
        <v>27.27000000000001</v>
      </c>
    </row>
    <row r="193" spans="2:8" x14ac:dyDescent="0.25">
      <c r="B193">
        <f>(CSV_Import!F191-CSV_Import!$F$2)/1000</f>
        <v>41.2</v>
      </c>
      <c r="D193">
        <f>ROUND(TAN(RADIANS(CSV_Import!A191))*((Auswertung!$C$8*100)/2-Auswertung!$C$9),3)</f>
        <v>9.86</v>
      </c>
      <c r="E193">
        <f>ROUND(TAN(RADIANS(CSV_Import!Q191))*((Auswertung!$C$8/2)*100-Auswertung!$C$9),3)</f>
        <v>5.6269999999999998</v>
      </c>
      <c r="G193">
        <f>(CSV_Import!M191-CSV_Import!$M$2)</f>
        <v>-38.240000000000009</v>
      </c>
      <c r="H193">
        <f>(CSV_Import!AC191-CSV_Import!$AC$2)</f>
        <v>27.240000000000009</v>
      </c>
    </row>
    <row r="194" spans="2:8" x14ac:dyDescent="0.25">
      <c r="B194">
        <f>(CSV_Import!F192-CSV_Import!$F$2)/1000</f>
        <v>41.4</v>
      </c>
      <c r="D194">
        <f>ROUND(TAN(RADIANS(CSV_Import!A192))*((Auswertung!$C$8*100)/2-Auswertung!$C$9),3)</f>
        <v>9.6110000000000007</v>
      </c>
      <c r="E194">
        <f>ROUND(TAN(RADIANS(CSV_Import!Q192))*((Auswertung!$C$8/2)*100-Auswertung!$C$9),3)</f>
        <v>6.3040000000000003</v>
      </c>
      <c r="G194">
        <f>(CSV_Import!M192-CSV_Import!$M$2)</f>
        <v>-38.100000000000009</v>
      </c>
      <c r="H194">
        <f>(CSV_Import!AC192-CSV_Import!$AC$2)</f>
        <v>27.099999999999994</v>
      </c>
    </row>
    <row r="195" spans="2:8" x14ac:dyDescent="0.25">
      <c r="B195">
        <f>(CSV_Import!F193-CSV_Import!$F$2)/1000</f>
        <v>41.6</v>
      </c>
      <c r="D195">
        <f>ROUND(TAN(RADIANS(CSV_Import!A193))*((Auswertung!$C$8*100)/2-Auswertung!$C$9),3)</f>
        <v>9.4459999999999997</v>
      </c>
      <c r="E195">
        <f>ROUND(TAN(RADIANS(CSV_Import!Q193))*((Auswertung!$C$8/2)*100-Auswertung!$C$9),3)</f>
        <v>5.4829999999999997</v>
      </c>
      <c r="G195">
        <f>(CSV_Import!M193-CSV_Import!$M$2)</f>
        <v>-38.190000000000012</v>
      </c>
      <c r="H195">
        <f>(CSV_Import!AC193-CSV_Import!$AC$2)</f>
        <v>27.54000000000002</v>
      </c>
    </row>
    <row r="196" spans="2:8" x14ac:dyDescent="0.25">
      <c r="B196">
        <f>(CSV_Import!F194-CSV_Import!$F$2)/1000</f>
        <v>41.8</v>
      </c>
      <c r="D196">
        <f>ROUND(TAN(RADIANS(CSV_Import!A194))*((Auswertung!$C$8*100)/2-Auswertung!$C$9),3)</f>
        <v>9.2349999999999994</v>
      </c>
      <c r="E196">
        <f>ROUND(TAN(RADIANS(CSV_Import!Q194))*((Auswertung!$C$8/2)*100-Auswertung!$C$9),3)</f>
        <v>5.2839999999999998</v>
      </c>
      <c r="G196">
        <f>(CSV_Import!M194-CSV_Import!$M$2)</f>
        <v>-37.77000000000001</v>
      </c>
      <c r="H196">
        <f>(CSV_Import!AC194-CSV_Import!$AC$2)</f>
        <v>27.230000000000018</v>
      </c>
    </row>
    <row r="197" spans="2:8" x14ac:dyDescent="0.25">
      <c r="B197">
        <f>(CSV_Import!F195-CSV_Import!$F$2)/1000</f>
        <v>42</v>
      </c>
      <c r="D197">
        <f>ROUND(TAN(RADIANS(CSV_Import!A195))*((Auswertung!$C$8*100)/2-Auswertung!$C$9),3)</f>
        <v>9.0449999999999999</v>
      </c>
      <c r="E197">
        <f>ROUND(TAN(RADIANS(CSV_Import!Q195))*((Auswertung!$C$8/2)*100-Auswertung!$C$9),3)</f>
        <v>4.8810000000000002</v>
      </c>
      <c r="G197">
        <f>(CSV_Import!M195-CSV_Import!$M$2)</f>
        <v>-38.02000000000001</v>
      </c>
      <c r="H197">
        <f>(CSV_Import!AC195-CSV_Import!$AC$2)</f>
        <v>27.670000000000016</v>
      </c>
    </row>
    <row r="198" spans="2:8" x14ac:dyDescent="0.25">
      <c r="B198">
        <f>(CSV_Import!F196-CSV_Import!$F$2)/1000</f>
        <v>42.2</v>
      </c>
      <c r="D198">
        <f>ROUND(TAN(RADIANS(CSV_Import!A196))*((Auswertung!$C$8*100)/2-Auswertung!$C$9),3)</f>
        <v>9.2110000000000003</v>
      </c>
      <c r="E198">
        <f>ROUND(TAN(RADIANS(CSV_Import!Q196))*((Auswertung!$C$8/2)*100-Auswertung!$C$9),3)</f>
        <v>5.7619999999999996</v>
      </c>
      <c r="G198">
        <f>(CSV_Import!M196-CSV_Import!$M$2)</f>
        <v>-37.930000000000007</v>
      </c>
      <c r="H198">
        <f>(CSV_Import!AC196-CSV_Import!$AC$2)</f>
        <v>27.400000000000006</v>
      </c>
    </row>
    <row r="199" spans="2:8" x14ac:dyDescent="0.25">
      <c r="B199">
        <f>(CSV_Import!F197-CSV_Import!$F$2)/1000</f>
        <v>42.4</v>
      </c>
      <c r="D199">
        <f>ROUND(TAN(RADIANS(CSV_Import!A197))*((Auswertung!$C$8*100)/2-Auswertung!$C$9),3)</f>
        <v>8.8580000000000005</v>
      </c>
      <c r="E199">
        <f>ROUND(TAN(RADIANS(CSV_Import!Q197))*((Auswertung!$C$8/2)*100-Auswertung!$C$9),3)</f>
        <v>5.665</v>
      </c>
      <c r="G199">
        <f>(CSV_Import!M197-CSV_Import!$M$2)</f>
        <v>-38.320000000000007</v>
      </c>
      <c r="H199">
        <f>(CSV_Import!AC197-CSV_Import!$AC$2)</f>
        <v>27.349999999999994</v>
      </c>
    </row>
    <row r="200" spans="2:8" x14ac:dyDescent="0.25">
      <c r="B200">
        <f>(CSV_Import!F198-CSV_Import!$F$2)/1000</f>
        <v>42.6</v>
      </c>
      <c r="D200">
        <f>ROUND(TAN(RADIANS(CSV_Import!A198))*((Auswertung!$C$8*100)/2-Auswertung!$C$9),3)</f>
        <v>8.7080000000000002</v>
      </c>
      <c r="E200">
        <f>ROUND(TAN(RADIANS(CSV_Import!Q198))*((Auswertung!$C$8/2)*100-Auswertung!$C$9),3)</f>
        <v>5.5540000000000003</v>
      </c>
      <c r="G200">
        <f>(CSV_Import!M198-CSV_Import!$M$2)</f>
        <v>-38.670000000000016</v>
      </c>
      <c r="H200">
        <f>(CSV_Import!AC198-CSV_Import!$AC$2)</f>
        <v>26.77000000000001</v>
      </c>
    </row>
    <row r="201" spans="2:8" x14ac:dyDescent="0.25">
      <c r="B201">
        <f>(CSV_Import!F199-CSV_Import!$F$2)/1000</f>
        <v>42.8</v>
      </c>
      <c r="D201">
        <f>ROUND(TAN(RADIANS(CSV_Import!A199))*((Auswertung!$C$8*100)/2-Auswertung!$C$9),3)</f>
        <v>8.7949999999999999</v>
      </c>
      <c r="E201">
        <f>ROUND(TAN(RADIANS(CSV_Import!Q199))*((Auswertung!$C$8/2)*100-Auswertung!$C$9),3)</f>
        <v>5.5730000000000004</v>
      </c>
      <c r="G201">
        <f>(CSV_Import!M199-CSV_Import!$M$2)</f>
        <v>-38.190000000000012</v>
      </c>
      <c r="H201">
        <f>(CSV_Import!AC199-CSV_Import!$AC$2)</f>
        <v>27.360000000000014</v>
      </c>
    </row>
    <row r="202" spans="2:8" x14ac:dyDescent="0.25">
      <c r="B202">
        <f>(CSV_Import!F200-CSV_Import!$F$2)/1000</f>
        <v>43</v>
      </c>
      <c r="D202">
        <f>ROUND(TAN(RADIANS(CSV_Import!A200))*((Auswertung!$C$8*100)/2-Auswertung!$C$9),3)</f>
        <v>8.7889999999999997</v>
      </c>
      <c r="E202">
        <f>ROUND(TAN(RADIANS(CSV_Import!Q200))*((Auswertung!$C$8/2)*100-Auswertung!$C$9),3)</f>
        <v>5.43</v>
      </c>
      <c r="G202">
        <f>(CSV_Import!M200-CSV_Import!$M$2)</f>
        <v>-38.110000000000014</v>
      </c>
      <c r="H202">
        <f>(CSV_Import!AC200-CSV_Import!$AC$2)</f>
        <v>27.240000000000009</v>
      </c>
    </row>
    <row r="203" spans="2:8" x14ac:dyDescent="0.25">
      <c r="B203">
        <f>(CSV_Import!F201-CSV_Import!$F$2)/1000</f>
        <v>43.2</v>
      </c>
      <c r="D203">
        <f>ROUND(TAN(RADIANS(CSV_Import!A201))*((Auswertung!$C$8*100)/2-Auswertung!$C$9),3)</f>
        <v>8.8209999999999997</v>
      </c>
      <c r="E203">
        <f>ROUND(TAN(RADIANS(CSV_Import!Q201))*((Auswertung!$C$8/2)*100-Auswertung!$C$9),3)</f>
        <v>4.8650000000000002</v>
      </c>
      <c r="G203">
        <f>(CSV_Import!M201-CSV_Import!$M$2)</f>
        <v>-37.990000000000009</v>
      </c>
      <c r="H203">
        <f>(CSV_Import!AC201-CSV_Import!$AC$2)</f>
        <v>27.420000000000016</v>
      </c>
    </row>
    <row r="204" spans="2:8" x14ac:dyDescent="0.25">
      <c r="B204">
        <f>(CSV_Import!F202-CSV_Import!$F$2)/1000</f>
        <v>43.4</v>
      </c>
      <c r="D204">
        <f>ROUND(TAN(RADIANS(CSV_Import!A202))*((Auswertung!$C$8*100)/2-Auswertung!$C$9),3)</f>
        <v>9.0879999999999992</v>
      </c>
      <c r="E204">
        <f>ROUND(TAN(RADIANS(CSV_Import!Q202))*((Auswertung!$C$8/2)*100-Auswertung!$C$9),3)</f>
        <v>4.9889999999999999</v>
      </c>
      <c r="G204">
        <f>(CSV_Import!M202-CSV_Import!$M$2)</f>
        <v>-38.160000000000011</v>
      </c>
      <c r="H204">
        <f>(CSV_Import!AC202-CSV_Import!$AC$2)</f>
        <v>27.460000000000008</v>
      </c>
    </row>
    <row r="205" spans="2:8" x14ac:dyDescent="0.25">
      <c r="B205">
        <f>(CSV_Import!F203-CSV_Import!$F$2)/1000</f>
        <v>43.6</v>
      </c>
      <c r="D205">
        <f>ROUND(TAN(RADIANS(CSV_Import!A203))*((Auswertung!$C$8*100)/2-Auswertung!$C$9),3)</f>
        <v>9.0960000000000001</v>
      </c>
      <c r="E205">
        <f>ROUND(TAN(RADIANS(CSV_Import!Q203))*((Auswertung!$C$8/2)*100-Auswertung!$C$9),3)</f>
        <v>5.008</v>
      </c>
      <c r="G205">
        <f>(CSV_Import!M203-CSV_Import!$M$2)</f>
        <v>-38.660000000000011</v>
      </c>
      <c r="H205">
        <f>(CSV_Import!AC203-CSV_Import!$AC$2)</f>
        <v>26.75</v>
      </c>
    </row>
    <row r="206" spans="2:8" x14ac:dyDescent="0.25">
      <c r="B206">
        <f>(CSV_Import!F204-CSV_Import!$F$2)/1000</f>
        <v>43.8</v>
      </c>
      <c r="D206">
        <f>ROUND(TAN(RADIANS(CSV_Import!A204))*((Auswertung!$C$8*100)/2-Auswertung!$C$9),3)</f>
        <v>9.1280000000000001</v>
      </c>
      <c r="E206">
        <f>ROUND(TAN(RADIANS(CSV_Import!Q204))*((Auswertung!$C$8/2)*100-Auswertung!$C$9),3)</f>
        <v>5.0869999999999997</v>
      </c>
      <c r="G206">
        <f>(CSV_Import!M204-CSV_Import!$M$2)</f>
        <v>-38.310000000000016</v>
      </c>
      <c r="H206">
        <f>(CSV_Import!AC204-CSV_Import!$AC$2)</f>
        <v>27.510000000000019</v>
      </c>
    </row>
    <row r="207" spans="2:8" x14ac:dyDescent="0.25">
      <c r="B207">
        <f>(CSV_Import!F205-CSV_Import!$F$2)/1000</f>
        <v>45.3</v>
      </c>
      <c r="D207">
        <f>ROUND(TAN(RADIANS(CSV_Import!A205))*((Auswertung!$C$8*100)/2-Auswertung!$C$9),3)</f>
        <v>9.4</v>
      </c>
      <c r="E207">
        <f>ROUND(TAN(RADIANS(CSV_Import!Q205))*((Auswertung!$C$8/2)*100-Auswertung!$C$9),3)</f>
        <v>6.4470000000000001</v>
      </c>
      <c r="G207">
        <f>(CSV_Import!M205-CSV_Import!$M$2)</f>
        <v>-39.300000000000011</v>
      </c>
      <c r="H207">
        <f>(CSV_Import!AC205-CSV_Import!$AC$2)</f>
        <v>26.480000000000018</v>
      </c>
    </row>
    <row r="208" spans="2:8" x14ac:dyDescent="0.25">
      <c r="B208">
        <f>(CSV_Import!F206-CSV_Import!$F$2)/1000</f>
        <v>45.5</v>
      </c>
      <c r="D208">
        <f>ROUND(TAN(RADIANS(CSV_Import!A206))*((Auswertung!$C$8*100)/2-Auswertung!$C$9),3)</f>
        <v>9.5850000000000009</v>
      </c>
      <c r="E208">
        <f>ROUND(TAN(RADIANS(CSV_Import!Q206))*((Auswertung!$C$8/2)*100-Auswertung!$C$9),3)</f>
        <v>6.2380000000000004</v>
      </c>
      <c r="G208">
        <f>(CSV_Import!M206-CSV_Import!$M$2)</f>
        <v>-38.720000000000013</v>
      </c>
      <c r="H208">
        <f>(CSV_Import!AC206-CSV_Import!$AC$2)</f>
        <v>26.610000000000014</v>
      </c>
    </row>
    <row r="209" spans="2:8" x14ac:dyDescent="0.25">
      <c r="B209">
        <f>(CSV_Import!F207-CSV_Import!$F$2)/1000</f>
        <v>45.7</v>
      </c>
      <c r="D209">
        <f>ROUND(TAN(RADIANS(CSV_Import!A207))*((Auswertung!$C$8*100)/2-Auswertung!$C$9),3)</f>
        <v>9.4920000000000009</v>
      </c>
      <c r="E209">
        <f>ROUND(TAN(RADIANS(CSV_Import!Q207))*((Auswertung!$C$8/2)*100-Auswertung!$C$9),3)</f>
        <v>6.1280000000000001</v>
      </c>
      <c r="G209">
        <f>(CSV_Import!M207-CSV_Import!$M$2)</f>
        <v>-39.13000000000001</v>
      </c>
      <c r="H209">
        <f>(CSV_Import!AC207-CSV_Import!$AC$2)</f>
        <v>26.930000000000007</v>
      </c>
    </row>
    <row r="210" spans="2:8" x14ac:dyDescent="0.25">
      <c r="B210">
        <f>(CSV_Import!F208-CSV_Import!$F$2)/1000</f>
        <v>45.9</v>
      </c>
      <c r="D210">
        <f>ROUND(TAN(RADIANS(CSV_Import!A208))*((Auswertung!$C$8*100)/2-Auswertung!$C$9),3)</f>
        <v>9.5399999999999991</v>
      </c>
      <c r="E210">
        <f>ROUND(TAN(RADIANS(CSV_Import!Q208))*((Auswertung!$C$8/2)*100-Auswertung!$C$9),3)</f>
        <v>6.0819999999999999</v>
      </c>
      <c r="G210">
        <f>(CSV_Import!M208-CSV_Import!$M$2)</f>
        <v>-38.720000000000013</v>
      </c>
      <c r="H210">
        <f>(CSV_Import!AC208-CSV_Import!$AC$2)</f>
        <v>26.650000000000006</v>
      </c>
    </row>
    <row r="211" spans="2:8" x14ac:dyDescent="0.25">
      <c r="B211">
        <f>(CSV_Import!F209-CSV_Import!$F$2)/1000</f>
        <v>46.1</v>
      </c>
      <c r="D211">
        <f>ROUND(TAN(RADIANS(CSV_Import!A209))*((Auswertung!$C$8*100)/2-Auswertung!$C$9),3)</f>
        <v>9.2769999999999992</v>
      </c>
      <c r="E211">
        <f>ROUND(TAN(RADIANS(CSV_Import!Q209))*((Auswertung!$C$8/2)*100-Auswertung!$C$9),3)</f>
        <v>5.9569999999999999</v>
      </c>
      <c r="G211">
        <f>(CSV_Import!M209-CSV_Import!$M$2)</f>
        <v>-38.840000000000018</v>
      </c>
      <c r="H211">
        <f>(CSV_Import!AC209-CSV_Import!$AC$2)</f>
        <v>27.04000000000002</v>
      </c>
    </row>
    <row r="212" spans="2:8" x14ac:dyDescent="0.25">
      <c r="B212">
        <f>(CSV_Import!F210-CSV_Import!$F$2)/1000</f>
        <v>46.3</v>
      </c>
      <c r="D212">
        <f>ROUND(TAN(RADIANS(CSV_Import!A210))*((Auswertung!$C$8*100)/2-Auswertung!$C$9),3)</f>
        <v>9.1199999999999992</v>
      </c>
      <c r="E212">
        <f>ROUND(TAN(RADIANS(CSV_Import!Q210))*((Auswertung!$C$8/2)*100-Auswertung!$C$9),3)</f>
        <v>5.7270000000000003</v>
      </c>
      <c r="G212">
        <f>(CSV_Import!M210-CSV_Import!$M$2)</f>
        <v>-39.04000000000002</v>
      </c>
      <c r="H212">
        <f>(CSV_Import!AC210-CSV_Import!$AC$2)</f>
        <v>26.900000000000006</v>
      </c>
    </row>
    <row r="213" spans="2:8" x14ac:dyDescent="0.25">
      <c r="B213">
        <f>(CSV_Import!F211-CSV_Import!$F$2)/1000</f>
        <v>46.5</v>
      </c>
      <c r="D213">
        <f>ROUND(TAN(RADIANS(CSV_Import!A211))*((Auswertung!$C$8*100)/2-Auswertung!$C$9),3)</f>
        <v>9.1509999999999998</v>
      </c>
      <c r="E213">
        <f>ROUND(TAN(RADIANS(CSV_Import!Q211))*((Auswertung!$C$8/2)*100-Auswertung!$C$9),3)</f>
        <v>5.7949999999999999</v>
      </c>
      <c r="G213">
        <f>(CSV_Import!M211-CSV_Import!$M$2)</f>
        <v>-39.420000000000016</v>
      </c>
      <c r="H213">
        <f>(CSV_Import!AC211-CSV_Import!$AC$2)</f>
        <v>26.78</v>
      </c>
    </row>
    <row r="214" spans="2:8" x14ac:dyDescent="0.25">
      <c r="B214">
        <f>(CSV_Import!F212-CSV_Import!$F$2)/1000</f>
        <v>46.7</v>
      </c>
      <c r="D214">
        <f>ROUND(TAN(RADIANS(CSV_Import!A212))*((Auswertung!$C$8*100)/2-Auswertung!$C$9),3)</f>
        <v>8.9760000000000009</v>
      </c>
      <c r="E214">
        <f>ROUND(TAN(RADIANS(CSV_Import!Q212))*((Auswertung!$C$8/2)*100-Auswertung!$C$9),3)</f>
        <v>5.7220000000000004</v>
      </c>
      <c r="G214">
        <f>(CSV_Import!M212-CSV_Import!$M$2)</f>
        <v>-39.180000000000007</v>
      </c>
      <c r="H214">
        <f>(CSV_Import!AC212-CSV_Import!$AC$2)</f>
        <v>26.870000000000005</v>
      </c>
    </row>
    <row r="215" spans="2:8" x14ac:dyDescent="0.25">
      <c r="B215">
        <f>(CSV_Import!F213-CSV_Import!$F$2)/1000</f>
        <v>46.9</v>
      </c>
      <c r="D215">
        <f>ROUND(TAN(RADIANS(CSV_Import!A213))*((Auswertung!$C$8*100)/2-Auswertung!$C$9),3)</f>
        <v>9.2850000000000001</v>
      </c>
      <c r="E215">
        <f>ROUND(TAN(RADIANS(CSV_Import!Q213))*((Auswertung!$C$8/2)*100-Auswertung!$C$9),3)</f>
        <v>5.5570000000000004</v>
      </c>
      <c r="G215">
        <f>(CSV_Import!M213-CSV_Import!$M$2)</f>
        <v>-38.450000000000017</v>
      </c>
      <c r="H215">
        <f>(CSV_Import!AC213-CSV_Import!$AC$2)</f>
        <v>26.939999999999998</v>
      </c>
    </row>
    <row r="216" spans="2:8" x14ac:dyDescent="0.25">
      <c r="B216">
        <f>(CSV_Import!F214-CSV_Import!$F$2)/1000</f>
        <v>47.1</v>
      </c>
      <c r="D216">
        <f>ROUND(TAN(RADIANS(CSV_Import!A214))*((Auswertung!$C$8*100)/2-Auswertung!$C$9),3)</f>
        <v>8.9740000000000002</v>
      </c>
      <c r="E216">
        <f>ROUND(TAN(RADIANS(CSV_Import!Q214))*((Auswertung!$C$8/2)*100-Auswertung!$C$9),3)</f>
        <v>5.5730000000000004</v>
      </c>
      <c r="G216">
        <f>(CSV_Import!M214-CSV_Import!$M$2)</f>
        <v>-39.330000000000013</v>
      </c>
      <c r="H216">
        <f>(CSV_Import!AC214-CSV_Import!$AC$2)</f>
        <v>26.870000000000005</v>
      </c>
    </row>
    <row r="217" spans="2:8" x14ac:dyDescent="0.25">
      <c r="B217">
        <f>(CSV_Import!F215-CSV_Import!$F$2)/1000</f>
        <v>47.3</v>
      </c>
      <c r="D217">
        <f>ROUND(TAN(RADIANS(CSV_Import!A215))*((Auswertung!$C$8*100)/2-Auswertung!$C$9),3)</f>
        <v>8.9</v>
      </c>
      <c r="E217">
        <f>ROUND(TAN(RADIANS(CSV_Import!Q215))*((Auswertung!$C$8/2)*100-Auswertung!$C$9),3)</f>
        <v>5.6459999999999999</v>
      </c>
      <c r="G217">
        <f>(CSV_Import!M215-CSV_Import!$M$2)</f>
        <v>-39.500000000000014</v>
      </c>
      <c r="H217">
        <f>(CSV_Import!AC215-CSV_Import!$AC$2)</f>
        <v>26.860000000000014</v>
      </c>
    </row>
    <row r="218" spans="2:8" x14ac:dyDescent="0.25">
      <c r="B218">
        <f>(CSV_Import!F216-CSV_Import!$F$2)/1000</f>
        <v>47.5</v>
      </c>
      <c r="D218">
        <f>ROUND(TAN(RADIANS(CSV_Import!A216))*((Auswertung!$C$8*100)/2-Auswertung!$C$9),3)</f>
        <v>8.8659999999999997</v>
      </c>
      <c r="E218">
        <f>ROUND(TAN(RADIANS(CSV_Import!Q216))*((Auswertung!$C$8/2)*100-Auswertung!$C$9),3)</f>
        <v>5.5110000000000001</v>
      </c>
      <c r="G218">
        <f>(CSV_Import!M216-CSV_Import!$M$2)</f>
        <v>-38.890000000000015</v>
      </c>
      <c r="H218">
        <f>(CSV_Import!AC216-CSV_Import!$AC$2)</f>
        <v>26.490000000000009</v>
      </c>
    </row>
    <row r="219" spans="2:8" x14ac:dyDescent="0.25">
      <c r="B219">
        <f>(CSV_Import!F217-CSV_Import!$F$2)/1000</f>
        <v>47.7</v>
      </c>
      <c r="D219">
        <f>ROUND(TAN(RADIANS(CSV_Import!A217))*((Auswertung!$C$8*100)/2-Auswertung!$C$9),3)</f>
        <v>8.7799999999999994</v>
      </c>
      <c r="E219">
        <f>ROUND(TAN(RADIANS(CSV_Import!Q217))*((Auswertung!$C$8/2)*100-Auswertung!$C$9),3)</f>
        <v>5.508</v>
      </c>
      <c r="G219">
        <f>(CSV_Import!M217-CSV_Import!$M$2)</f>
        <v>-39.170000000000016</v>
      </c>
      <c r="H219">
        <f>(CSV_Import!AC217-CSV_Import!$AC$2)</f>
        <v>26.810000000000002</v>
      </c>
    </row>
    <row r="220" spans="2:8" x14ac:dyDescent="0.25">
      <c r="B220">
        <f>(CSV_Import!F218-CSV_Import!$F$2)/1000</f>
        <v>47.9</v>
      </c>
      <c r="D220">
        <f>ROUND(TAN(RADIANS(CSV_Import!A218))*((Auswertung!$C$8*100)/2-Auswertung!$C$9),3)</f>
        <v>9.0090000000000003</v>
      </c>
      <c r="E220">
        <f>ROUND(TAN(RADIANS(CSV_Import!Q218))*((Auswertung!$C$8/2)*100-Auswertung!$C$9),3)</f>
        <v>5.8380000000000001</v>
      </c>
      <c r="G220">
        <f>(CSV_Import!M218-CSV_Import!$M$2)</f>
        <v>-38.730000000000018</v>
      </c>
      <c r="H220">
        <f>(CSV_Import!AC218-CSV_Import!$AC$2)</f>
        <v>26.730000000000018</v>
      </c>
    </row>
    <row r="221" spans="2:8" x14ac:dyDescent="0.25">
      <c r="B221">
        <f>(CSV_Import!F219-CSV_Import!$F$2)/1000</f>
        <v>48.1</v>
      </c>
      <c r="D221">
        <f>ROUND(TAN(RADIANS(CSV_Import!A219))*((Auswertung!$C$8*100)/2-Auswertung!$C$9),3)</f>
        <v>8.9429999999999996</v>
      </c>
      <c r="E221">
        <f>ROUND(TAN(RADIANS(CSV_Import!Q219))*((Auswertung!$C$8/2)*100-Auswertung!$C$9),3)</f>
        <v>5.8159999999999998</v>
      </c>
      <c r="G221">
        <f>(CSV_Import!M219-CSV_Import!$M$2)</f>
        <v>-39.010000000000019</v>
      </c>
      <c r="H221">
        <f>(CSV_Import!AC219-CSV_Import!$AC$2)</f>
        <v>26.670000000000016</v>
      </c>
    </row>
    <row r="222" spans="2:8" x14ac:dyDescent="0.25">
      <c r="B222">
        <f>(CSV_Import!F220-CSV_Import!$F$2)/1000</f>
        <v>48.3</v>
      </c>
      <c r="D222">
        <f>ROUND(TAN(RADIANS(CSV_Import!A220))*((Auswertung!$C$8*100)/2-Auswertung!$C$9),3)</f>
        <v>9.1419999999999995</v>
      </c>
      <c r="E222">
        <f>ROUND(TAN(RADIANS(CSV_Import!Q220))*((Auswertung!$C$8/2)*100-Auswertung!$C$9),3)</f>
        <v>5.8869999999999996</v>
      </c>
      <c r="G222">
        <f>(CSV_Import!M220-CSV_Import!$M$2)</f>
        <v>-38.730000000000018</v>
      </c>
      <c r="H222">
        <f>(CSV_Import!AC220-CSV_Import!$AC$2)</f>
        <v>26.849999999999994</v>
      </c>
    </row>
    <row r="223" spans="2:8" x14ac:dyDescent="0.25">
      <c r="B223">
        <f>(CSV_Import!F221-CSV_Import!$F$2)/1000</f>
        <v>48.5</v>
      </c>
      <c r="D223">
        <f>ROUND(TAN(RADIANS(CSV_Import!A221))*((Auswertung!$C$8*100)/2-Auswertung!$C$9),3)</f>
        <v>9.2490000000000006</v>
      </c>
      <c r="E223">
        <f>ROUND(TAN(RADIANS(CSV_Import!Q221))*((Auswertung!$C$8/2)*100-Auswertung!$C$9),3)</f>
        <v>6.0780000000000003</v>
      </c>
      <c r="G223">
        <f>(CSV_Import!M221-CSV_Import!$M$2)</f>
        <v>-38.740000000000009</v>
      </c>
      <c r="H223">
        <f>(CSV_Import!AC221-CSV_Import!$AC$2)</f>
        <v>26.700000000000017</v>
      </c>
    </row>
    <row r="224" spans="2:8" x14ac:dyDescent="0.25">
      <c r="B224">
        <f>(CSV_Import!F222-CSV_Import!$F$2)/1000</f>
        <v>48.7</v>
      </c>
      <c r="D224">
        <f>ROUND(TAN(RADIANS(CSV_Import!A222))*((Auswertung!$C$8*100)/2-Auswertung!$C$9),3)</f>
        <v>9.391</v>
      </c>
      <c r="E224">
        <f>ROUND(TAN(RADIANS(CSV_Import!Q222))*((Auswertung!$C$8/2)*100-Auswertung!$C$9),3)</f>
        <v>5.1660000000000004</v>
      </c>
      <c r="G224">
        <f>(CSV_Import!M222-CSV_Import!$M$2)</f>
        <v>-38.620000000000019</v>
      </c>
      <c r="H224">
        <f>(CSV_Import!AC222-CSV_Import!$AC$2)</f>
        <v>27.120000000000005</v>
      </c>
    </row>
    <row r="225" spans="2:8" x14ac:dyDescent="0.25">
      <c r="B225">
        <f>(CSV_Import!F223-CSV_Import!$F$2)/1000</f>
        <v>48.9</v>
      </c>
      <c r="D225">
        <f>ROUND(TAN(RADIANS(CSV_Import!A223))*((Auswertung!$C$8*100)/2-Auswertung!$C$9),3)</f>
        <v>9.4499999999999993</v>
      </c>
      <c r="E225">
        <f>ROUND(TAN(RADIANS(CSV_Import!Q223))*((Auswertung!$C$8/2)*100-Auswertung!$C$9),3)</f>
        <v>5.0190000000000001</v>
      </c>
      <c r="G225">
        <f>(CSV_Import!M223-CSV_Import!$M$2)</f>
        <v>-38.430000000000007</v>
      </c>
      <c r="H225">
        <f>(CSV_Import!AC223-CSV_Import!$AC$2)</f>
        <v>27.360000000000014</v>
      </c>
    </row>
    <row r="226" spans="2:8" x14ac:dyDescent="0.25">
      <c r="B226">
        <f>(CSV_Import!F224-CSV_Import!$F$2)/1000</f>
        <v>49.1</v>
      </c>
      <c r="D226">
        <f>ROUND(TAN(RADIANS(CSV_Import!A224))*((Auswertung!$C$8*100)/2-Auswertung!$C$9),3)</f>
        <v>9.6159999999999997</v>
      </c>
      <c r="E226">
        <f>ROUND(TAN(RADIANS(CSV_Import!Q224))*((Auswertung!$C$8/2)*100-Auswertung!$C$9),3)</f>
        <v>4.9870000000000001</v>
      </c>
      <c r="G226">
        <f>(CSV_Import!M224-CSV_Import!$M$2)</f>
        <v>-38.760000000000019</v>
      </c>
      <c r="H226">
        <f>(CSV_Import!AC224-CSV_Import!$AC$2)</f>
        <v>27.22</v>
      </c>
    </row>
    <row r="227" spans="2:8" x14ac:dyDescent="0.25">
      <c r="B227">
        <f>(CSV_Import!F225-CSV_Import!$F$2)/1000</f>
        <v>49.3</v>
      </c>
      <c r="D227">
        <f>ROUND(TAN(RADIANS(CSV_Import!A225))*((Auswertung!$C$8*100)/2-Auswertung!$C$9),3)</f>
        <v>9.5549999999999997</v>
      </c>
      <c r="E227">
        <f>ROUND(TAN(RADIANS(CSV_Import!Q225))*((Auswertung!$C$8/2)*100-Auswertung!$C$9),3)</f>
        <v>5.774</v>
      </c>
      <c r="G227">
        <f>(CSV_Import!M225-CSV_Import!$M$2)</f>
        <v>-38.190000000000012</v>
      </c>
      <c r="H227">
        <f>(CSV_Import!AC225-CSV_Import!$AC$2)</f>
        <v>26.77000000000001</v>
      </c>
    </row>
    <row r="228" spans="2:8" x14ac:dyDescent="0.25">
      <c r="B228">
        <f>(CSV_Import!F226-CSV_Import!$F$2)/1000</f>
        <v>49.5</v>
      </c>
      <c r="D228">
        <f>ROUND(TAN(RADIANS(CSV_Import!A226))*((Auswertung!$C$8*100)/2-Auswertung!$C$9),3)</f>
        <v>9.3059999999999992</v>
      </c>
      <c r="E228">
        <f>ROUND(TAN(RADIANS(CSV_Import!Q226))*((Auswertung!$C$8/2)*100-Auswertung!$C$9),3)</f>
        <v>5.0659999999999998</v>
      </c>
      <c r="G228">
        <f>(CSV_Import!M226-CSV_Import!$M$2)</f>
        <v>-38.410000000000011</v>
      </c>
      <c r="H228">
        <f>(CSV_Import!AC226-CSV_Import!$AC$2)</f>
        <v>27.460000000000008</v>
      </c>
    </row>
    <row r="229" spans="2:8" x14ac:dyDescent="0.25">
      <c r="B229">
        <f>(CSV_Import!F227-CSV_Import!$F$2)/1000</f>
        <v>49.7</v>
      </c>
      <c r="D229">
        <f>ROUND(TAN(RADIANS(CSV_Import!A227))*((Auswertung!$C$8*100)/2-Auswertung!$C$9),3)</f>
        <v>9.4209999999999994</v>
      </c>
      <c r="E229">
        <f>ROUND(TAN(RADIANS(CSV_Import!Q227))*((Auswertung!$C$8/2)*100-Auswertung!$C$9),3)</f>
        <v>5.4189999999999996</v>
      </c>
      <c r="G229">
        <f>(CSV_Import!M227-CSV_Import!$M$2)</f>
        <v>-38.640000000000015</v>
      </c>
      <c r="H229">
        <f>(CSV_Import!AC227-CSV_Import!$AC$2)</f>
        <v>26.930000000000007</v>
      </c>
    </row>
    <row r="230" spans="2:8" x14ac:dyDescent="0.25">
      <c r="B230">
        <f>(CSV_Import!F228-CSV_Import!$F$2)/1000</f>
        <v>49.9</v>
      </c>
      <c r="D230">
        <f>ROUND(TAN(RADIANS(CSV_Import!A228))*((Auswertung!$C$8*100)/2-Auswertung!$C$9),3)</f>
        <v>9.2200000000000006</v>
      </c>
      <c r="E230">
        <f>ROUND(TAN(RADIANS(CSV_Import!Q228))*((Auswertung!$C$8/2)*100-Auswertung!$C$9),3)</f>
        <v>6.3970000000000002</v>
      </c>
      <c r="G230">
        <f>(CSV_Import!M228-CSV_Import!$M$2)</f>
        <v>-38.280000000000015</v>
      </c>
      <c r="H230">
        <f>(CSV_Import!AC228-CSV_Import!$AC$2)</f>
        <v>27.060000000000002</v>
      </c>
    </row>
    <row r="231" spans="2:8" x14ac:dyDescent="0.25">
      <c r="B231">
        <f>(CSV_Import!F229-CSV_Import!$F$2)/1000</f>
        <v>50.1</v>
      </c>
      <c r="D231">
        <f>ROUND(TAN(RADIANS(CSV_Import!A229))*((Auswertung!$C$8*100)/2-Auswertung!$C$9),3)</f>
        <v>9.1560000000000006</v>
      </c>
      <c r="E231">
        <f>ROUND(TAN(RADIANS(CSV_Import!Q229))*((Auswertung!$C$8/2)*100-Auswertung!$C$9),3)</f>
        <v>6.18</v>
      </c>
      <c r="G231">
        <f>(CSV_Import!M229-CSV_Import!$M$2)</f>
        <v>-38.410000000000011</v>
      </c>
      <c r="H231">
        <f>(CSV_Import!AC229-CSV_Import!$AC$2)</f>
        <v>26.830000000000013</v>
      </c>
    </row>
    <row r="232" spans="2:8" x14ac:dyDescent="0.25">
      <c r="B232">
        <f>(CSV_Import!F230-CSV_Import!$F$2)/1000</f>
        <v>50.3</v>
      </c>
      <c r="D232">
        <f>ROUND(TAN(RADIANS(CSV_Import!A230))*((Auswertung!$C$8*100)/2-Auswertung!$C$9),3)</f>
        <v>9.2680000000000007</v>
      </c>
      <c r="E232">
        <f>ROUND(TAN(RADIANS(CSV_Import!Q230))*((Auswertung!$C$8/2)*100-Auswertung!$C$9),3)</f>
        <v>5.9969999999999999</v>
      </c>
      <c r="G232">
        <f>(CSV_Import!M230-CSV_Import!$M$2)</f>
        <v>-38.450000000000017</v>
      </c>
      <c r="H232">
        <f>(CSV_Import!AC230-CSV_Import!$AC$2)</f>
        <v>26.980000000000018</v>
      </c>
    </row>
    <row r="233" spans="2:8" x14ac:dyDescent="0.25">
      <c r="B233">
        <f>(CSV_Import!F231-CSV_Import!$F$2)/1000</f>
        <v>50.5</v>
      </c>
      <c r="D233">
        <f>ROUND(TAN(RADIANS(CSV_Import!A231))*((Auswertung!$C$8*100)/2-Auswertung!$C$9),3)</f>
        <v>9.0920000000000005</v>
      </c>
      <c r="E233">
        <f>ROUND(TAN(RADIANS(CSV_Import!Q231))*((Auswertung!$C$8/2)*100-Auswertung!$C$9),3)</f>
        <v>5.2229999999999999</v>
      </c>
      <c r="G233">
        <f>(CSV_Import!M231-CSV_Import!$M$2)</f>
        <v>-38.620000000000019</v>
      </c>
      <c r="H233">
        <f>(CSV_Import!AC231-CSV_Import!$AC$2)</f>
        <v>27.099999999999994</v>
      </c>
    </row>
    <row r="234" spans="2:8" x14ac:dyDescent="0.25">
      <c r="B234">
        <f>(CSV_Import!F232-CSV_Import!$F$2)/1000</f>
        <v>50.7</v>
      </c>
      <c r="D234">
        <f>ROUND(TAN(RADIANS(CSV_Import!A232))*((Auswertung!$C$8*100)/2-Auswertung!$C$9),3)</f>
        <v>9.1310000000000002</v>
      </c>
      <c r="E234">
        <f>ROUND(TAN(RADIANS(CSV_Import!Q232))*((Auswertung!$C$8/2)*100-Auswertung!$C$9),3)</f>
        <v>5.7880000000000003</v>
      </c>
      <c r="G234">
        <f>(CSV_Import!M232-CSV_Import!$M$2)</f>
        <v>-38.54000000000002</v>
      </c>
      <c r="H234">
        <f>(CSV_Import!AC232-CSV_Import!$AC$2)</f>
        <v>27.22</v>
      </c>
    </row>
    <row r="235" spans="2:8" x14ac:dyDescent="0.25">
      <c r="B235">
        <f>(CSV_Import!F233-CSV_Import!$F$2)/1000</f>
        <v>50.9</v>
      </c>
      <c r="D235">
        <f>ROUND(TAN(RADIANS(CSV_Import!A233))*((Auswertung!$C$8*100)/2-Auswertung!$C$9),3)</f>
        <v>9.1010000000000009</v>
      </c>
      <c r="E235">
        <f>ROUND(TAN(RADIANS(CSV_Import!Q233))*((Auswertung!$C$8/2)*100-Auswertung!$C$9),3)</f>
        <v>4.9859999999999998</v>
      </c>
      <c r="G235">
        <f>(CSV_Import!M233-CSV_Import!$M$2)</f>
        <v>-38.820000000000007</v>
      </c>
      <c r="H235">
        <f>(CSV_Import!AC233-CSV_Import!$AC$2)</f>
        <v>27.240000000000009</v>
      </c>
    </row>
    <row r="236" spans="2:8" x14ac:dyDescent="0.25">
      <c r="B236">
        <f>(CSV_Import!F234-CSV_Import!$F$2)/1000</f>
        <v>51.1</v>
      </c>
      <c r="D236">
        <f>ROUND(TAN(RADIANS(CSV_Import!A234))*((Auswertung!$C$8*100)/2-Auswertung!$C$9),3)</f>
        <v>8.9960000000000004</v>
      </c>
      <c r="E236">
        <f>ROUND(TAN(RADIANS(CSV_Import!Q234))*((Auswertung!$C$8/2)*100-Auswertung!$C$9),3)</f>
        <v>5.95</v>
      </c>
      <c r="G236">
        <f>(CSV_Import!M234-CSV_Import!$M$2)</f>
        <v>-38.590000000000018</v>
      </c>
      <c r="H236">
        <f>(CSV_Import!AC234-CSV_Import!$AC$2)</f>
        <v>26.820000000000022</v>
      </c>
    </row>
    <row r="237" spans="2:8" x14ac:dyDescent="0.25">
      <c r="B237">
        <f>(CSV_Import!F235-CSV_Import!$F$2)/1000</f>
        <v>51.3</v>
      </c>
      <c r="D237">
        <f>ROUND(TAN(RADIANS(CSV_Import!A235))*((Auswertung!$C$8*100)/2-Auswertung!$C$9),3)</f>
        <v>9.173</v>
      </c>
      <c r="E237">
        <f>ROUND(TAN(RADIANS(CSV_Import!Q235))*((Auswertung!$C$8/2)*100-Auswertung!$C$9),3)</f>
        <v>5.0449999999999999</v>
      </c>
      <c r="G237">
        <f>(CSV_Import!M235-CSV_Import!$M$2)</f>
        <v>-38.510000000000019</v>
      </c>
      <c r="H237">
        <f>(CSV_Import!AC235-CSV_Import!$AC$2)</f>
        <v>27.120000000000005</v>
      </c>
    </row>
    <row r="238" spans="2:8" x14ac:dyDescent="0.25">
      <c r="B238">
        <f>(CSV_Import!F236-CSV_Import!$F$2)/1000</f>
        <v>51.5</v>
      </c>
      <c r="D238">
        <f>ROUND(TAN(RADIANS(CSV_Import!A236))*((Auswertung!$C$8*100)/2-Auswertung!$C$9),3)</f>
        <v>8.9600000000000009</v>
      </c>
      <c r="E238">
        <f>ROUND(TAN(RADIANS(CSV_Import!Q236))*((Auswertung!$C$8/2)*100-Auswertung!$C$9),3)</f>
        <v>5.7359999999999998</v>
      </c>
      <c r="G238">
        <f>(CSV_Import!M236-CSV_Import!$M$2)</f>
        <v>-38.530000000000015</v>
      </c>
      <c r="H238">
        <f>(CSV_Import!AC236-CSV_Import!$AC$2)</f>
        <v>26.800000000000011</v>
      </c>
    </row>
    <row r="239" spans="2:8" x14ac:dyDescent="0.25">
      <c r="B239">
        <f>(CSV_Import!F237-CSV_Import!$F$2)/1000</f>
        <v>51.7</v>
      </c>
      <c r="D239">
        <f>ROUND(TAN(RADIANS(CSV_Import!A237))*((Auswertung!$C$8*100)/2-Auswertung!$C$9),3)</f>
        <v>9.2560000000000002</v>
      </c>
      <c r="E239">
        <f>ROUND(TAN(RADIANS(CSV_Import!Q237))*((Auswertung!$C$8/2)*100-Auswertung!$C$9),3)</f>
        <v>5.7229999999999999</v>
      </c>
      <c r="G239">
        <f>(CSV_Import!M237-CSV_Import!$M$2)</f>
        <v>-38.450000000000017</v>
      </c>
      <c r="H239">
        <f>(CSV_Import!AC237-CSV_Import!$AC$2)</f>
        <v>27.25</v>
      </c>
    </row>
    <row r="240" spans="2:8" x14ac:dyDescent="0.25">
      <c r="B240">
        <f>(CSV_Import!F238-CSV_Import!$F$2)/1000</f>
        <v>51.9</v>
      </c>
      <c r="D240">
        <f>ROUND(TAN(RADIANS(CSV_Import!A238))*((Auswertung!$C$8*100)/2-Auswertung!$C$9),3)</f>
        <v>9.1210000000000004</v>
      </c>
      <c r="E240">
        <f>ROUND(TAN(RADIANS(CSV_Import!Q238))*((Auswertung!$C$8/2)*100-Auswertung!$C$9),3)</f>
        <v>5.6710000000000003</v>
      </c>
      <c r="G240">
        <f>(CSV_Import!M238-CSV_Import!$M$2)</f>
        <v>-39.090000000000018</v>
      </c>
      <c r="H240">
        <f>(CSV_Import!AC238-CSV_Import!$AC$2)</f>
        <v>26.900000000000006</v>
      </c>
    </row>
  </sheetData>
  <mergeCells count="2">
    <mergeCell ref="D2:E2"/>
    <mergeCell ref="G2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Auswertung</vt:lpstr>
      <vt:lpstr>CSV_Import</vt:lpstr>
      <vt:lpstr>Kalkulationen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Falk-Jakob Weigand</dc:creator>
  <cp:lastModifiedBy>Falk-Jakob Weigand</cp:lastModifiedBy>
  <cp:lastPrinted>2025-07-09T05:12:39Z</cp:lastPrinted>
  <dcterms:created xsi:type="dcterms:W3CDTF">2025-05-31T12:55:03Z</dcterms:created>
  <dcterms:modified xsi:type="dcterms:W3CDTF">2025-07-09T06:36:53Z</dcterms:modified>
</cp:coreProperties>
</file>