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D:\FJW_Schwingung\software\final\"/>
    </mc:Choice>
  </mc:AlternateContent>
  <xr:revisionPtr revIDLastSave="0" documentId="13_ncr:1_{5A2008A9-9523-42C4-8182-55479B4A1AC7}" xr6:coauthVersionLast="47" xr6:coauthVersionMax="47" xr10:uidLastSave="{00000000-0000-0000-0000-000000000000}"/>
  <bookViews>
    <workbookView xWindow="-108" yWindow="-108" windowWidth="41496" windowHeight="16776" xr2:uid="{C4E7ED5F-51C6-4E4E-B930-AC500383E013}"/>
  </bookViews>
  <sheets>
    <sheet name="Auswertung" sheetId="2" r:id="rId1"/>
    <sheet name="CSV_Import" sheetId="1" r:id="rId2"/>
    <sheet name="Kalkulationen" sheetId="3" r:id="rId3"/>
  </sheets>
  <definedNames>
    <definedName name="HorizontalMovAvg1">Kalkulationen!$H$4:INDEX(Kalkulationen!$H:$H,Kalkulationen!$N$3)</definedName>
    <definedName name="HorizontalMovAvg2">Kalkulationen!$I$4:INDEX(Kalkulationen!$I:$I,Kalkulationen!$N$3)</definedName>
    <definedName name="Time">Kalkulationen!$B$4:INDEX(Kalkulationen!$B:$B,Kalkulationen!$N$3)</definedName>
    <definedName name="VertikaleAuslenkung1">Kalkulationen!$K$4:INDEX(Kalkulationen!$K:$K,Kalkulationen!$N$3)</definedName>
    <definedName name="VertikaleAuslenkung2">Kalkulationen!$L$4:INDEX(Kalkulationen!$L:$L,Kalkulationen!$N$3)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3" l="1"/>
  <c r="D105" i="3"/>
  <c r="E105" i="3"/>
  <c r="F105" i="3"/>
  <c r="G105" i="3"/>
  <c r="H105" i="3"/>
  <c r="I105" i="3"/>
  <c r="K105" i="3"/>
  <c r="L105" i="3"/>
  <c r="B106" i="3"/>
  <c r="D106" i="3"/>
  <c r="E106" i="3"/>
  <c r="F106" i="3"/>
  <c r="G106" i="3"/>
  <c r="H106" i="3"/>
  <c r="I106" i="3"/>
  <c r="K106" i="3"/>
  <c r="L106" i="3"/>
  <c r="B107" i="3"/>
  <c r="D107" i="3"/>
  <c r="E107" i="3"/>
  <c r="F107" i="3"/>
  <c r="G107" i="3"/>
  <c r="H107" i="3"/>
  <c r="I107" i="3"/>
  <c r="K107" i="3"/>
  <c r="L107" i="3"/>
  <c r="B108" i="3"/>
  <c r="D108" i="3"/>
  <c r="E108" i="3"/>
  <c r="F108" i="3"/>
  <c r="G108" i="3"/>
  <c r="H108" i="3"/>
  <c r="I108" i="3"/>
  <c r="K108" i="3"/>
  <c r="L108" i="3"/>
  <c r="B109" i="3"/>
  <c r="D109" i="3"/>
  <c r="E109" i="3"/>
  <c r="F109" i="3"/>
  <c r="G109" i="3"/>
  <c r="H109" i="3"/>
  <c r="I109" i="3"/>
  <c r="K109" i="3"/>
  <c r="L109" i="3"/>
  <c r="B110" i="3"/>
  <c r="D110" i="3"/>
  <c r="E110" i="3"/>
  <c r="F110" i="3"/>
  <c r="G110" i="3"/>
  <c r="H110" i="3"/>
  <c r="I110" i="3"/>
  <c r="K110" i="3"/>
  <c r="L110" i="3"/>
  <c r="B111" i="3"/>
  <c r="D111" i="3"/>
  <c r="E111" i="3"/>
  <c r="F111" i="3"/>
  <c r="G111" i="3"/>
  <c r="H111" i="3"/>
  <c r="I111" i="3"/>
  <c r="K111" i="3"/>
  <c r="L111" i="3"/>
  <c r="B112" i="3"/>
  <c r="D112" i="3"/>
  <c r="E112" i="3"/>
  <c r="F112" i="3"/>
  <c r="G112" i="3"/>
  <c r="H112" i="3"/>
  <c r="I112" i="3"/>
  <c r="K112" i="3"/>
  <c r="L112" i="3"/>
  <c r="B113" i="3"/>
  <c r="D113" i="3"/>
  <c r="E113" i="3"/>
  <c r="F113" i="3"/>
  <c r="G113" i="3"/>
  <c r="H113" i="3"/>
  <c r="I113" i="3"/>
  <c r="K113" i="3"/>
  <c r="L113" i="3"/>
  <c r="B114" i="3"/>
  <c r="D114" i="3"/>
  <c r="E114" i="3"/>
  <c r="F114" i="3"/>
  <c r="G114" i="3"/>
  <c r="H114" i="3"/>
  <c r="I114" i="3"/>
  <c r="K114" i="3"/>
  <c r="L114" i="3"/>
  <c r="B115" i="3"/>
  <c r="D115" i="3"/>
  <c r="E115" i="3"/>
  <c r="F115" i="3"/>
  <c r="G115" i="3"/>
  <c r="H115" i="3"/>
  <c r="I115" i="3"/>
  <c r="K115" i="3"/>
  <c r="L115" i="3"/>
  <c r="B116" i="3"/>
  <c r="D116" i="3"/>
  <c r="E116" i="3"/>
  <c r="F116" i="3"/>
  <c r="G116" i="3"/>
  <c r="H116" i="3"/>
  <c r="I116" i="3"/>
  <c r="K116" i="3"/>
  <c r="L116" i="3"/>
  <c r="B117" i="3"/>
  <c r="D117" i="3"/>
  <c r="E117" i="3"/>
  <c r="F117" i="3"/>
  <c r="G117" i="3"/>
  <c r="H117" i="3"/>
  <c r="I117" i="3"/>
  <c r="K117" i="3"/>
  <c r="L117" i="3"/>
  <c r="B118" i="3"/>
  <c r="D118" i="3"/>
  <c r="E118" i="3"/>
  <c r="F118" i="3"/>
  <c r="G118" i="3"/>
  <c r="H118" i="3"/>
  <c r="I118" i="3"/>
  <c r="K118" i="3"/>
  <c r="L118" i="3"/>
  <c r="B119" i="3"/>
  <c r="D119" i="3"/>
  <c r="E119" i="3"/>
  <c r="F119" i="3"/>
  <c r="G119" i="3"/>
  <c r="H119" i="3"/>
  <c r="I119" i="3"/>
  <c r="K119" i="3"/>
  <c r="L119" i="3"/>
  <c r="B120" i="3"/>
  <c r="D120" i="3"/>
  <c r="E120" i="3"/>
  <c r="F120" i="3"/>
  <c r="G120" i="3"/>
  <c r="H120" i="3"/>
  <c r="I120" i="3"/>
  <c r="K120" i="3"/>
  <c r="L120" i="3"/>
  <c r="B121" i="3"/>
  <c r="D121" i="3"/>
  <c r="E121" i="3"/>
  <c r="F121" i="3"/>
  <c r="G121" i="3"/>
  <c r="H121" i="3"/>
  <c r="I121" i="3"/>
  <c r="K121" i="3"/>
  <c r="L121" i="3"/>
  <c r="B122" i="3"/>
  <c r="D122" i="3"/>
  <c r="E122" i="3"/>
  <c r="F122" i="3"/>
  <c r="G122" i="3"/>
  <c r="H122" i="3"/>
  <c r="I122" i="3"/>
  <c r="K122" i="3"/>
  <c r="L122" i="3"/>
  <c r="B123" i="3"/>
  <c r="D123" i="3"/>
  <c r="E123" i="3"/>
  <c r="F123" i="3"/>
  <c r="G123" i="3"/>
  <c r="H123" i="3"/>
  <c r="I123" i="3"/>
  <c r="K123" i="3"/>
  <c r="L123" i="3"/>
  <c r="B124" i="3"/>
  <c r="D124" i="3"/>
  <c r="E124" i="3"/>
  <c r="F124" i="3"/>
  <c r="G124" i="3"/>
  <c r="H124" i="3"/>
  <c r="I124" i="3"/>
  <c r="K124" i="3"/>
  <c r="L124" i="3"/>
  <c r="B125" i="3"/>
  <c r="D125" i="3"/>
  <c r="E125" i="3"/>
  <c r="F125" i="3"/>
  <c r="G125" i="3"/>
  <c r="H125" i="3"/>
  <c r="I125" i="3"/>
  <c r="K125" i="3"/>
  <c r="L125" i="3"/>
  <c r="B126" i="3"/>
  <c r="D126" i="3"/>
  <c r="E126" i="3"/>
  <c r="F126" i="3"/>
  <c r="G126" i="3"/>
  <c r="H126" i="3"/>
  <c r="I126" i="3"/>
  <c r="K126" i="3"/>
  <c r="L126" i="3"/>
  <c r="B127" i="3"/>
  <c r="D127" i="3"/>
  <c r="E127" i="3"/>
  <c r="F127" i="3"/>
  <c r="G127" i="3"/>
  <c r="H127" i="3"/>
  <c r="I127" i="3"/>
  <c r="K127" i="3"/>
  <c r="L127" i="3"/>
  <c r="B128" i="3"/>
  <c r="D128" i="3"/>
  <c r="E128" i="3"/>
  <c r="F128" i="3"/>
  <c r="G128" i="3"/>
  <c r="H128" i="3"/>
  <c r="I128" i="3"/>
  <c r="K128" i="3"/>
  <c r="L128" i="3"/>
  <c r="B129" i="3"/>
  <c r="D129" i="3"/>
  <c r="E129" i="3"/>
  <c r="F129" i="3"/>
  <c r="G129" i="3"/>
  <c r="H129" i="3"/>
  <c r="I129" i="3"/>
  <c r="K129" i="3"/>
  <c r="L129" i="3"/>
  <c r="B130" i="3"/>
  <c r="D130" i="3"/>
  <c r="E130" i="3"/>
  <c r="F130" i="3"/>
  <c r="G130" i="3"/>
  <c r="H130" i="3"/>
  <c r="I130" i="3"/>
  <c r="K130" i="3"/>
  <c r="L130" i="3"/>
  <c r="B131" i="3"/>
  <c r="D131" i="3"/>
  <c r="E131" i="3"/>
  <c r="F131" i="3"/>
  <c r="G131" i="3"/>
  <c r="H131" i="3"/>
  <c r="I131" i="3"/>
  <c r="K131" i="3"/>
  <c r="L131" i="3"/>
  <c r="B132" i="3"/>
  <c r="D132" i="3"/>
  <c r="E132" i="3"/>
  <c r="F132" i="3"/>
  <c r="G132" i="3"/>
  <c r="H132" i="3"/>
  <c r="I132" i="3"/>
  <c r="K132" i="3"/>
  <c r="L132" i="3"/>
  <c r="B133" i="3"/>
  <c r="D133" i="3"/>
  <c r="E133" i="3"/>
  <c r="F133" i="3"/>
  <c r="G133" i="3"/>
  <c r="H133" i="3"/>
  <c r="I133" i="3"/>
  <c r="K133" i="3"/>
  <c r="L133" i="3"/>
  <c r="B134" i="3"/>
  <c r="D134" i="3"/>
  <c r="E134" i="3"/>
  <c r="F134" i="3"/>
  <c r="G134" i="3"/>
  <c r="H134" i="3"/>
  <c r="I134" i="3"/>
  <c r="K134" i="3"/>
  <c r="L134" i="3"/>
  <c r="B135" i="3"/>
  <c r="D135" i="3"/>
  <c r="E135" i="3"/>
  <c r="F135" i="3"/>
  <c r="G135" i="3"/>
  <c r="H135" i="3"/>
  <c r="I135" i="3"/>
  <c r="K135" i="3"/>
  <c r="L135" i="3"/>
  <c r="B136" i="3"/>
  <c r="D136" i="3"/>
  <c r="E136" i="3"/>
  <c r="F136" i="3"/>
  <c r="G136" i="3"/>
  <c r="H136" i="3"/>
  <c r="I136" i="3"/>
  <c r="K136" i="3"/>
  <c r="L136" i="3"/>
  <c r="B137" i="3"/>
  <c r="D137" i="3"/>
  <c r="E137" i="3"/>
  <c r="F137" i="3"/>
  <c r="G137" i="3"/>
  <c r="H137" i="3"/>
  <c r="I137" i="3"/>
  <c r="K137" i="3"/>
  <c r="L137" i="3"/>
  <c r="B138" i="3"/>
  <c r="D138" i="3"/>
  <c r="E138" i="3"/>
  <c r="F138" i="3"/>
  <c r="G138" i="3"/>
  <c r="H138" i="3"/>
  <c r="I138" i="3"/>
  <c r="K138" i="3"/>
  <c r="L138" i="3"/>
  <c r="B139" i="3"/>
  <c r="D139" i="3"/>
  <c r="E139" i="3"/>
  <c r="F139" i="3"/>
  <c r="G139" i="3"/>
  <c r="H139" i="3"/>
  <c r="I139" i="3"/>
  <c r="K139" i="3"/>
  <c r="L139" i="3"/>
  <c r="B140" i="3"/>
  <c r="D140" i="3"/>
  <c r="E140" i="3"/>
  <c r="F140" i="3"/>
  <c r="G140" i="3"/>
  <c r="H140" i="3"/>
  <c r="I140" i="3"/>
  <c r="K140" i="3"/>
  <c r="L140" i="3"/>
  <c r="B141" i="3"/>
  <c r="D141" i="3"/>
  <c r="E141" i="3"/>
  <c r="F141" i="3"/>
  <c r="G141" i="3"/>
  <c r="H141" i="3"/>
  <c r="I141" i="3"/>
  <c r="K141" i="3"/>
  <c r="L141" i="3"/>
  <c r="B142" i="3"/>
  <c r="D142" i="3"/>
  <c r="E142" i="3"/>
  <c r="F142" i="3"/>
  <c r="G142" i="3"/>
  <c r="H142" i="3"/>
  <c r="I142" i="3"/>
  <c r="K142" i="3"/>
  <c r="L142" i="3"/>
  <c r="B143" i="3"/>
  <c r="D143" i="3"/>
  <c r="E143" i="3"/>
  <c r="F143" i="3"/>
  <c r="G143" i="3"/>
  <c r="H143" i="3"/>
  <c r="I143" i="3"/>
  <c r="K143" i="3"/>
  <c r="L143" i="3"/>
  <c r="B144" i="3"/>
  <c r="D144" i="3"/>
  <c r="E144" i="3"/>
  <c r="F144" i="3"/>
  <c r="G144" i="3"/>
  <c r="H144" i="3"/>
  <c r="I144" i="3"/>
  <c r="K144" i="3"/>
  <c r="L144" i="3"/>
  <c r="B145" i="3"/>
  <c r="D145" i="3"/>
  <c r="E145" i="3"/>
  <c r="F145" i="3"/>
  <c r="G145" i="3"/>
  <c r="H145" i="3"/>
  <c r="I145" i="3"/>
  <c r="K145" i="3"/>
  <c r="L145" i="3"/>
  <c r="B146" i="3"/>
  <c r="D146" i="3"/>
  <c r="E146" i="3"/>
  <c r="F146" i="3"/>
  <c r="G146" i="3"/>
  <c r="H146" i="3"/>
  <c r="I146" i="3"/>
  <c r="K146" i="3"/>
  <c r="L146" i="3"/>
  <c r="B147" i="3"/>
  <c r="D147" i="3"/>
  <c r="E147" i="3"/>
  <c r="F147" i="3"/>
  <c r="G147" i="3"/>
  <c r="H147" i="3"/>
  <c r="I147" i="3"/>
  <c r="K147" i="3"/>
  <c r="L147" i="3"/>
  <c r="B148" i="3"/>
  <c r="D148" i="3"/>
  <c r="E148" i="3"/>
  <c r="F148" i="3"/>
  <c r="G148" i="3"/>
  <c r="H148" i="3"/>
  <c r="I148" i="3"/>
  <c r="K148" i="3"/>
  <c r="L148" i="3"/>
  <c r="B149" i="3"/>
  <c r="D149" i="3"/>
  <c r="E149" i="3"/>
  <c r="F149" i="3"/>
  <c r="G149" i="3"/>
  <c r="H149" i="3"/>
  <c r="I149" i="3"/>
  <c r="K149" i="3"/>
  <c r="L149" i="3"/>
  <c r="B150" i="3"/>
  <c r="D150" i="3"/>
  <c r="E150" i="3"/>
  <c r="F150" i="3"/>
  <c r="G150" i="3"/>
  <c r="H150" i="3"/>
  <c r="I150" i="3"/>
  <c r="K150" i="3"/>
  <c r="L150" i="3"/>
  <c r="B151" i="3"/>
  <c r="D151" i="3"/>
  <c r="E151" i="3"/>
  <c r="F151" i="3"/>
  <c r="G151" i="3"/>
  <c r="H151" i="3"/>
  <c r="I151" i="3"/>
  <c r="K151" i="3"/>
  <c r="L151" i="3"/>
  <c r="B152" i="3"/>
  <c r="D152" i="3"/>
  <c r="E152" i="3"/>
  <c r="F152" i="3"/>
  <c r="G152" i="3"/>
  <c r="H152" i="3"/>
  <c r="I152" i="3"/>
  <c r="K152" i="3"/>
  <c r="L152" i="3"/>
  <c r="B153" i="3"/>
  <c r="D153" i="3"/>
  <c r="E153" i="3"/>
  <c r="F153" i="3"/>
  <c r="G153" i="3"/>
  <c r="H153" i="3"/>
  <c r="I153" i="3"/>
  <c r="K153" i="3"/>
  <c r="L153" i="3"/>
  <c r="B154" i="3"/>
  <c r="D154" i="3"/>
  <c r="E154" i="3"/>
  <c r="F154" i="3"/>
  <c r="G154" i="3"/>
  <c r="H154" i="3"/>
  <c r="I154" i="3"/>
  <c r="K154" i="3"/>
  <c r="L154" i="3"/>
  <c r="B155" i="3"/>
  <c r="D155" i="3"/>
  <c r="E155" i="3"/>
  <c r="F155" i="3"/>
  <c r="G155" i="3"/>
  <c r="H155" i="3"/>
  <c r="I155" i="3"/>
  <c r="K155" i="3"/>
  <c r="L155" i="3"/>
  <c r="B156" i="3"/>
  <c r="D156" i="3"/>
  <c r="E156" i="3"/>
  <c r="F156" i="3"/>
  <c r="G156" i="3"/>
  <c r="H156" i="3"/>
  <c r="I156" i="3"/>
  <c r="K156" i="3"/>
  <c r="L156" i="3"/>
  <c r="B157" i="3"/>
  <c r="D157" i="3"/>
  <c r="E157" i="3"/>
  <c r="F157" i="3"/>
  <c r="G157" i="3"/>
  <c r="H157" i="3"/>
  <c r="I157" i="3"/>
  <c r="K157" i="3"/>
  <c r="L157" i="3"/>
  <c r="B158" i="3"/>
  <c r="D158" i="3"/>
  <c r="E158" i="3"/>
  <c r="F158" i="3"/>
  <c r="G158" i="3"/>
  <c r="H158" i="3"/>
  <c r="I158" i="3"/>
  <c r="K158" i="3"/>
  <c r="L158" i="3"/>
  <c r="B159" i="3"/>
  <c r="D159" i="3"/>
  <c r="E159" i="3"/>
  <c r="F159" i="3"/>
  <c r="G159" i="3"/>
  <c r="H159" i="3"/>
  <c r="I159" i="3"/>
  <c r="K159" i="3"/>
  <c r="L159" i="3"/>
  <c r="B160" i="3"/>
  <c r="D160" i="3"/>
  <c r="E160" i="3"/>
  <c r="F160" i="3"/>
  <c r="G160" i="3"/>
  <c r="H160" i="3"/>
  <c r="I160" i="3"/>
  <c r="K160" i="3"/>
  <c r="L160" i="3"/>
  <c r="B161" i="3"/>
  <c r="D161" i="3"/>
  <c r="E161" i="3"/>
  <c r="F161" i="3"/>
  <c r="G161" i="3"/>
  <c r="H161" i="3"/>
  <c r="I161" i="3"/>
  <c r="K161" i="3"/>
  <c r="L161" i="3"/>
  <c r="B162" i="3"/>
  <c r="D162" i="3"/>
  <c r="E162" i="3"/>
  <c r="F162" i="3"/>
  <c r="G162" i="3"/>
  <c r="H162" i="3"/>
  <c r="I162" i="3"/>
  <c r="K162" i="3"/>
  <c r="L162" i="3"/>
  <c r="B163" i="3"/>
  <c r="D163" i="3"/>
  <c r="E163" i="3"/>
  <c r="F163" i="3"/>
  <c r="G163" i="3"/>
  <c r="H163" i="3"/>
  <c r="I163" i="3"/>
  <c r="K163" i="3"/>
  <c r="L163" i="3"/>
  <c r="B164" i="3"/>
  <c r="D164" i="3"/>
  <c r="E164" i="3"/>
  <c r="F164" i="3"/>
  <c r="G164" i="3"/>
  <c r="H164" i="3"/>
  <c r="I164" i="3"/>
  <c r="K164" i="3"/>
  <c r="L164" i="3"/>
  <c r="B165" i="3"/>
  <c r="D165" i="3"/>
  <c r="E165" i="3"/>
  <c r="F165" i="3"/>
  <c r="G165" i="3"/>
  <c r="H165" i="3"/>
  <c r="I165" i="3"/>
  <c r="K165" i="3"/>
  <c r="L165" i="3"/>
  <c r="B166" i="3"/>
  <c r="D166" i="3"/>
  <c r="E166" i="3"/>
  <c r="F166" i="3"/>
  <c r="G166" i="3"/>
  <c r="H166" i="3"/>
  <c r="I166" i="3"/>
  <c r="K166" i="3"/>
  <c r="L166" i="3"/>
  <c r="B167" i="3"/>
  <c r="D167" i="3"/>
  <c r="E167" i="3"/>
  <c r="F167" i="3"/>
  <c r="G167" i="3"/>
  <c r="H167" i="3"/>
  <c r="I167" i="3"/>
  <c r="K167" i="3"/>
  <c r="L167" i="3"/>
  <c r="B168" i="3"/>
  <c r="D168" i="3"/>
  <c r="E168" i="3"/>
  <c r="F168" i="3"/>
  <c r="G168" i="3"/>
  <c r="H168" i="3"/>
  <c r="I168" i="3"/>
  <c r="K168" i="3"/>
  <c r="L168" i="3"/>
  <c r="B169" i="3"/>
  <c r="D169" i="3"/>
  <c r="E169" i="3"/>
  <c r="F169" i="3"/>
  <c r="G169" i="3"/>
  <c r="H169" i="3"/>
  <c r="I169" i="3"/>
  <c r="K169" i="3"/>
  <c r="L169" i="3"/>
  <c r="B170" i="3"/>
  <c r="D170" i="3"/>
  <c r="E170" i="3"/>
  <c r="F170" i="3"/>
  <c r="G170" i="3"/>
  <c r="H170" i="3"/>
  <c r="I170" i="3"/>
  <c r="K170" i="3"/>
  <c r="L170" i="3"/>
  <c r="B171" i="3"/>
  <c r="D171" i="3"/>
  <c r="E171" i="3"/>
  <c r="F171" i="3"/>
  <c r="G171" i="3"/>
  <c r="H171" i="3"/>
  <c r="I171" i="3"/>
  <c r="K171" i="3"/>
  <c r="L171" i="3"/>
  <c r="B172" i="3"/>
  <c r="D172" i="3"/>
  <c r="E172" i="3"/>
  <c r="F172" i="3"/>
  <c r="G172" i="3"/>
  <c r="H172" i="3"/>
  <c r="I172" i="3"/>
  <c r="K172" i="3"/>
  <c r="L172" i="3"/>
  <c r="B173" i="3"/>
  <c r="D173" i="3"/>
  <c r="E173" i="3"/>
  <c r="F173" i="3"/>
  <c r="G173" i="3"/>
  <c r="H173" i="3"/>
  <c r="I173" i="3"/>
  <c r="K173" i="3"/>
  <c r="L173" i="3"/>
  <c r="B174" i="3"/>
  <c r="D174" i="3"/>
  <c r="E174" i="3"/>
  <c r="F174" i="3"/>
  <c r="G174" i="3"/>
  <c r="H174" i="3"/>
  <c r="I174" i="3"/>
  <c r="K174" i="3"/>
  <c r="L174" i="3"/>
  <c r="B175" i="3"/>
  <c r="D175" i="3"/>
  <c r="E175" i="3"/>
  <c r="F175" i="3"/>
  <c r="G175" i="3"/>
  <c r="H175" i="3"/>
  <c r="I175" i="3"/>
  <c r="K175" i="3"/>
  <c r="L175" i="3"/>
  <c r="B176" i="3"/>
  <c r="D176" i="3"/>
  <c r="E176" i="3"/>
  <c r="F176" i="3"/>
  <c r="G176" i="3"/>
  <c r="H176" i="3"/>
  <c r="I176" i="3"/>
  <c r="K176" i="3"/>
  <c r="L176" i="3"/>
  <c r="B177" i="3"/>
  <c r="D177" i="3"/>
  <c r="E177" i="3"/>
  <c r="F177" i="3"/>
  <c r="G177" i="3"/>
  <c r="H177" i="3"/>
  <c r="I177" i="3"/>
  <c r="K177" i="3"/>
  <c r="L177" i="3"/>
  <c r="B178" i="3"/>
  <c r="D178" i="3"/>
  <c r="E178" i="3"/>
  <c r="F178" i="3"/>
  <c r="G178" i="3"/>
  <c r="H178" i="3"/>
  <c r="I178" i="3"/>
  <c r="K178" i="3"/>
  <c r="L178" i="3"/>
  <c r="B179" i="3"/>
  <c r="D179" i="3"/>
  <c r="E179" i="3"/>
  <c r="F179" i="3"/>
  <c r="G179" i="3"/>
  <c r="H179" i="3"/>
  <c r="I179" i="3"/>
  <c r="K179" i="3"/>
  <c r="L179" i="3"/>
  <c r="B180" i="3"/>
  <c r="D180" i="3"/>
  <c r="E180" i="3"/>
  <c r="F180" i="3"/>
  <c r="G180" i="3"/>
  <c r="H180" i="3"/>
  <c r="I180" i="3"/>
  <c r="K180" i="3"/>
  <c r="L180" i="3"/>
  <c r="B181" i="3"/>
  <c r="D181" i="3"/>
  <c r="E181" i="3"/>
  <c r="F181" i="3"/>
  <c r="G181" i="3"/>
  <c r="H181" i="3"/>
  <c r="I181" i="3"/>
  <c r="K181" i="3"/>
  <c r="L181" i="3"/>
  <c r="B182" i="3"/>
  <c r="D182" i="3"/>
  <c r="E182" i="3"/>
  <c r="F182" i="3"/>
  <c r="G182" i="3"/>
  <c r="H182" i="3"/>
  <c r="I182" i="3"/>
  <c r="K182" i="3"/>
  <c r="L182" i="3"/>
  <c r="B183" i="3"/>
  <c r="D183" i="3"/>
  <c r="E183" i="3"/>
  <c r="F183" i="3"/>
  <c r="G183" i="3"/>
  <c r="H183" i="3"/>
  <c r="I183" i="3"/>
  <c r="K183" i="3"/>
  <c r="L183" i="3"/>
  <c r="B184" i="3"/>
  <c r="D184" i="3"/>
  <c r="E184" i="3"/>
  <c r="F184" i="3"/>
  <c r="G184" i="3"/>
  <c r="H184" i="3"/>
  <c r="I184" i="3"/>
  <c r="K184" i="3"/>
  <c r="L184" i="3"/>
  <c r="B185" i="3"/>
  <c r="D185" i="3"/>
  <c r="E185" i="3"/>
  <c r="F185" i="3"/>
  <c r="G185" i="3"/>
  <c r="H185" i="3"/>
  <c r="I185" i="3"/>
  <c r="K185" i="3"/>
  <c r="L185" i="3"/>
  <c r="B186" i="3"/>
  <c r="D186" i="3"/>
  <c r="E186" i="3"/>
  <c r="F186" i="3"/>
  <c r="G186" i="3"/>
  <c r="H186" i="3"/>
  <c r="I186" i="3"/>
  <c r="K186" i="3"/>
  <c r="L186" i="3"/>
  <c r="B187" i="3"/>
  <c r="D187" i="3"/>
  <c r="E187" i="3"/>
  <c r="F187" i="3"/>
  <c r="G187" i="3"/>
  <c r="H187" i="3"/>
  <c r="I187" i="3"/>
  <c r="K187" i="3"/>
  <c r="L187" i="3"/>
  <c r="B188" i="3"/>
  <c r="D188" i="3"/>
  <c r="E188" i="3"/>
  <c r="F188" i="3"/>
  <c r="G188" i="3"/>
  <c r="H188" i="3"/>
  <c r="I188" i="3"/>
  <c r="K188" i="3"/>
  <c r="L188" i="3"/>
  <c r="B189" i="3"/>
  <c r="D189" i="3"/>
  <c r="E189" i="3"/>
  <c r="F189" i="3"/>
  <c r="G189" i="3"/>
  <c r="H189" i="3"/>
  <c r="I189" i="3"/>
  <c r="K189" i="3"/>
  <c r="L189" i="3"/>
  <c r="B190" i="3"/>
  <c r="D190" i="3"/>
  <c r="E190" i="3"/>
  <c r="F190" i="3"/>
  <c r="G190" i="3"/>
  <c r="H190" i="3"/>
  <c r="I190" i="3"/>
  <c r="K190" i="3"/>
  <c r="L190" i="3"/>
  <c r="B191" i="3"/>
  <c r="D191" i="3"/>
  <c r="E191" i="3"/>
  <c r="F191" i="3"/>
  <c r="G191" i="3"/>
  <c r="H191" i="3"/>
  <c r="I191" i="3"/>
  <c r="K191" i="3"/>
  <c r="L191" i="3"/>
  <c r="B192" i="3"/>
  <c r="D192" i="3"/>
  <c r="E192" i="3"/>
  <c r="F192" i="3"/>
  <c r="G192" i="3"/>
  <c r="H192" i="3"/>
  <c r="I192" i="3"/>
  <c r="K192" i="3"/>
  <c r="L192" i="3"/>
  <c r="B193" i="3"/>
  <c r="D193" i="3"/>
  <c r="E193" i="3"/>
  <c r="F193" i="3"/>
  <c r="G193" i="3"/>
  <c r="H193" i="3"/>
  <c r="I193" i="3"/>
  <c r="K193" i="3"/>
  <c r="L193" i="3"/>
  <c r="B194" i="3"/>
  <c r="D194" i="3"/>
  <c r="E194" i="3"/>
  <c r="F194" i="3"/>
  <c r="G194" i="3"/>
  <c r="H194" i="3"/>
  <c r="I194" i="3"/>
  <c r="K194" i="3"/>
  <c r="L194" i="3"/>
  <c r="B195" i="3"/>
  <c r="D195" i="3"/>
  <c r="E195" i="3"/>
  <c r="F195" i="3"/>
  <c r="G195" i="3"/>
  <c r="H195" i="3"/>
  <c r="I195" i="3"/>
  <c r="K195" i="3"/>
  <c r="L195" i="3"/>
  <c r="B196" i="3"/>
  <c r="D196" i="3"/>
  <c r="E196" i="3"/>
  <c r="F196" i="3"/>
  <c r="G196" i="3"/>
  <c r="H196" i="3"/>
  <c r="I196" i="3"/>
  <c r="K196" i="3"/>
  <c r="L196" i="3"/>
  <c r="B197" i="3"/>
  <c r="D197" i="3"/>
  <c r="E197" i="3"/>
  <c r="F197" i="3"/>
  <c r="G197" i="3"/>
  <c r="H197" i="3"/>
  <c r="I197" i="3"/>
  <c r="K197" i="3"/>
  <c r="L197" i="3"/>
  <c r="B198" i="3"/>
  <c r="D198" i="3"/>
  <c r="E198" i="3"/>
  <c r="F198" i="3"/>
  <c r="G198" i="3"/>
  <c r="H198" i="3"/>
  <c r="I198" i="3"/>
  <c r="K198" i="3"/>
  <c r="L198" i="3"/>
  <c r="B199" i="3"/>
  <c r="D199" i="3"/>
  <c r="E199" i="3"/>
  <c r="F199" i="3"/>
  <c r="G199" i="3"/>
  <c r="H199" i="3"/>
  <c r="I199" i="3"/>
  <c r="K199" i="3"/>
  <c r="L199" i="3"/>
  <c r="B200" i="3"/>
  <c r="D200" i="3"/>
  <c r="E200" i="3"/>
  <c r="F200" i="3"/>
  <c r="G200" i="3"/>
  <c r="H200" i="3"/>
  <c r="I200" i="3"/>
  <c r="K200" i="3"/>
  <c r="L200" i="3"/>
  <c r="B201" i="3"/>
  <c r="D201" i="3"/>
  <c r="E201" i="3"/>
  <c r="F201" i="3"/>
  <c r="G201" i="3"/>
  <c r="H201" i="3"/>
  <c r="I201" i="3"/>
  <c r="K201" i="3"/>
  <c r="L201" i="3"/>
  <c r="B202" i="3"/>
  <c r="D202" i="3"/>
  <c r="E202" i="3"/>
  <c r="F202" i="3"/>
  <c r="G202" i="3"/>
  <c r="H202" i="3"/>
  <c r="I202" i="3"/>
  <c r="K202" i="3"/>
  <c r="L202" i="3"/>
  <c r="B203" i="3"/>
  <c r="D203" i="3"/>
  <c r="E203" i="3"/>
  <c r="F203" i="3"/>
  <c r="G203" i="3"/>
  <c r="H203" i="3"/>
  <c r="I203" i="3"/>
  <c r="K203" i="3"/>
  <c r="L203" i="3"/>
  <c r="B204" i="3"/>
  <c r="D204" i="3"/>
  <c r="E204" i="3"/>
  <c r="F204" i="3"/>
  <c r="G204" i="3"/>
  <c r="H204" i="3"/>
  <c r="I204" i="3"/>
  <c r="K204" i="3"/>
  <c r="L204" i="3"/>
  <c r="B205" i="3"/>
  <c r="D205" i="3"/>
  <c r="E205" i="3"/>
  <c r="F205" i="3"/>
  <c r="G205" i="3"/>
  <c r="H205" i="3"/>
  <c r="I205" i="3"/>
  <c r="K205" i="3"/>
  <c r="L205" i="3"/>
  <c r="B206" i="3"/>
  <c r="D206" i="3"/>
  <c r="E206" i="3"/>
  <c r="F206" i="3"/>
  <c r="G206" i="3"/>
  <c r="H206" i="3"/>
  <c r="I206" i="3"/>
  <c r="K206" i="3"/>
  <c r="L206" i="3"/>
  <c r="B207" i="3"/>
  <c r="D207" i="3"/>
  <c r="E207" i="3"/>
  <c r="F207" i="3"/>
  <c r="G207" i="3"/>
  <c r="H207" i="3"/>
  <c r="I207" i="3"/>
  <c r="K207" i="3"/>
  <c r="L207" i="3"/>
  <c r="B208" i="3"/>
  <c r="D208" i="3"/>
  <c r="E208" i="3"/>
  <c r="F208" i="3"/>
  <c r="G208" i="3"/>
  <c r="H208" i="3"/>
  <c r="I208" i="3"/>
  <c r="K208" i="3"/>
  <c r="L208" i="3"/>
  <c r="B209" i="3"/>
  <c r="D209" i="3"/>
  <c r="E209" i="3"/>
  <c r="F209" i="3"/>
  <c r="G209" i="3"/>
  <c r="H209" i="3"/>
  <c r="I209" i="3"/>
  <c r="K209" i="3"/>
  <c r="L209" i="3"/>
  <c r="B210" i="3"/>
  <c r="D210" i="3"/>
  <c r="E210" i="3"/>
  <c r="F210" i="3"/>
  <c r="G210" i="3"/>
  <c r="H210" i="3"/>
  <c r="I210" i="3"/>
  <c r="K210" i="3"/>
  <c r="L210" i="3"/>
  <c r="B211" i="3"/>
  <c r="D211" i="3"/>
  <c r="E211" i="3"/>
  <c r="F211" i="3"/>
  <c r="G211" i="3"/>
  <c r="H211" i="3"/>
  <c r="I211" i="3"/>
  <c r="K211" i="3"/>
  <c r="L211" i="3"/>
  <c r="B212" i="3"/>
  <c r="D212" i="3"/>
  <c r="E212" i="3"/>
  <c r="F212" i="3"/>
  <c r="G212" i="3"/>
  <c r="H212" i="3"/>
  <c r="I212" i="3"/>
  <c r="K212" i="3"/>
  <c r="L212" i="3"/>
  <c r="B213" i="3"/>
  <c r="D213" i="3"/>
  <c r="E213" i="3"/>
  <c r="F213" i="3"/>
  <c r="G213" i="3"/>
  <c r="H213" i="3"/>
  <c r="I213" i="3"/>
  <c r="K213" i="3"/>
  <c r="L213" i="3"/>
  <c r="B214" i="3"/>
  <c r="D214" i="3"/>
  <c r="E214" i="3"/>
  <c r="F214" i="3"/>
  <c r="G214" i="3"/>
  <c r="H214" i="3"/>
  <c r="I214" i="3"/>
  <c r="K214" i="3"/>
  <c r="L214" i="3"/>
  <c r="B215" i="3"/>
  <c r="D215" i="3"/>
  <c r="E215" i="3"/>
  <c r="F215" i="3"/>
  <c r="G215" i="3"/>
  <c r="H215" i="3"/>
  <c r="I215" i="3"/>
  <c r="K215" i="3"/>
  <c r="L215" i="3"/>
  <c r="B216" i="3"/>
  <c r="D216" i="3"/>
  <c r="E216" i="3"/>
  <c r="F216" i="3"/>
  <c r="G216" i="3"/>
  <c r="H216" i="3"/>
  <c r="I216" i="3"/>
  <c r="K216" i="3"/>
  <c r="L216" i="3"/>
  <c r="B217" i="3"/>
  <c r="D217" i="3"/>
  <c r="E217" i="3"/>
  <c r="F217" i="3"/>
  <c r="G217" i="3"/>
  <c r="H217" i="3"/>
  <c r="I217" i="3"/>
  <c r="K217" i="3"/>
  <c r="L217" i="3"/>
  <c r="B218" i="3"/>
  <c r="D218" i="3"/>
  <c r="E218" i="3"/>
  <c r="F218" i="3"/>
  <c r="G218" i="3"/>
  <c r="H218" i="3"/>
  <c r="I218" i="3"/>
  <c r="K218" i="3"/>
  <c r="L218" i="3"/>
  <c r="B219" i="3"/>
  <c r="D219" i="3"/>
  <c r="E219" i="3"/>
  <c r="F219" i="3"/>
  <c r="G219" i="3"/>
  <c r="H219" i="3"/>
  <c r="I219" i="3"/>
  <c r="K219" i="3"/>
  <c r="L219" i="3"/>
  <c r="B220" i="3"/>
  <c r="D220" i="3"/>
  <c r="E220" i="3"/>
  <c r="F220" i="3"/>
  <c r="G220" i="3"/>
  <c r="H220" i="3"/>
  <c r="I220" i="3"/>
  <c r="K220" i="3"/>
  <c r="L220" i="3"/>
  <c r="B221" i="3"/>
  <c r="D221" i="3"/>
  <c r="E221" i="3"/>
  <c r="F221" i="3"/>
  <c r="G221" i="3"/>
  <c r="H221" i="3"/>
  <c r="I221" i="3"/>
  <c r="K221" i="3"/>
  <c r="L221" i="3"/>
  <c r="B222" i="3"/>
  <c r="D222" i="3"/>
  <c r="E222" i="3"/>
  <c r="F222" i="3"/>
  <c r="G222" i="3"/>
  <c r="H222" i="3"/>
  <c r="I222" i="3"/>
  <c r="K222" i="3"/>
  <c r="L222" i="3"/>
  <c r="B223" i="3"/>
  <c r="D223" i="3"/>
  <c r="E223" i="3"/>
  <c r="F223" i="3"/>
  <c r="G223" i="3"/>
  <c r="H223" i="3"/>
  <c r="I223" i="3"/>
  <c r="K223" i="3"/>
  <c r="L223" i="3"/>
  <c r="B224" i="3"/>
  <c r="D224" i="3"/>
  <c r="E224" i="3"/>
  <c r="F224" i="3"/>
  <c r="G224" i="3"/>
  <c r="H224" i="3"/>
  <c r="I224" i="3"/>
  <c r="K224" i="3"/>
  <c r="L224" i="3"/>
  <c r="B225" i="3"/>
  <c r="D225" i="3"/>
  <c r="E225" i="3"/>
  <c r="F225" i="3"/>
  <c r="G225" i="3"/>
  <c r="H225" i="3"/>
  <c r="I225" i="3"/>
  <c r="K225" i="3"/>
  <c r="L225" i="3"/>
  <c r="B226" i="3"/>
  <c r="D226" i="3"/>
  <c r="E226" i="3"/>
  <c r="F226" i="3"/>
  <c r="G226" i="3"/>
  <c r="H226" i="3"/>
  <c r="I226" i="3"/>
  <c r="K226" i="3"/>
  <c r="L226" i="3"/>
  <c r="B227" i="3"/>
  <c r="D227" i="3"/>
  <c r="E227" i="3"/>
  <c r="F227" i="3"/>
  <c r="G227" i="3"/>
  <c r="H227" i="3"/>
  <c r="I227" i="3"/>
  <c r="K227" i="3"/>
  <c r="L227" i="3"/>
  <c r="B228" i="3"/>
  <c r="D228" i="3"/>
  <c r="E228" i="3"/>
  <c r="F228" i="3"/>
  <c r="G228" i="3"/>
  <c r="H228" i="3"/>
  <c r="I228" i="3"/>
  <c r="K228" i="3"/>
  <c r="L228" i="3"/>
  <c r="B229" i="3"/>
  <c r="D229" i="3"/>
  <c r="E229" i="3"/>
  <c r="F229" i="3"/>
  <c r="G229" i="3"/>
  <c r="H229" i="3"/>
  <c r="I229" i="3"/>
  <c r="K229" i="3"/>
  <c r="L229" i="3"/>
  <c r="B230" i="3"/>
  <c r="D230" i="3"/>
  <c r="E230" i="3"/>
  <c r="F230" i="3"/>
  <c r="G230" i="3"/>
  <c r="H230" i="3"/>
  <c r="I230" i="3"/>
  <c r="K230" i="3"/>
  <c r="L230" i="3"/>
  <c r="B231" i="3"/>
  <c r="D231" i="3"/>
  <c r="E231" i="3"/>
  <c r="F231" i="3"/>
  <c r="G231" i="3"/>
  <c r="H231" i="3"/>
  <c r="I231" i="3"/>
  <c r="K231" i="3"/>
  <c r="L231" i="3"/>
  <c r="B232" i="3"/>
  <c r="D232" i="3"/>
  <c r="E232" i="3"/>
  <c r="F232" i="3"/>
  <c r="G232" i="3"/>
  <c r="H232" i="3"/>
  <c r="I232" i="3"/>
  <c r="K232" i="3"/>
  <c r="L232" i="3"/>
  <c r="B233" i="3"/>
  <c r="D233" i="3"/>
  <c r="E233" i="3"/>
  <c r="F233" i="3"/>
  <c r="G233" i="3"/>
  <c r="H233" i="3"/>
  <c r="I233" i="3"/>
  <c r="K233" i="3"/>
  <c r="L233" i="3"/>
  <c r="B234" i="3"/>
  <c r="D234" i="3"/>
  <c r="E234" i="3"/>
  <c r="F234" i="3"/>
  <c r="G234" i="3"/>
  <c r="H234" i="3"/>
  <c r="I234" i="3"/>
  <c r="K234" i="3"/>
  <c r="L234" i="3"/>
  <c r="B235" i="3"/>
  <c r="D235" i="3"/>
  <c r="E235" i="3"/>
  <c r="F235" i="3"/>
  <c r="G235" i="3"/>
  <c r="H235" i="3"/>
  <c r="I235" i="3"/>
  <c r="K235" i="3"/>
  <c r="L235" i="3"/>
  <c r="B236" i="3"/>
  <c r="D236" i="3"/>
  <c r="E236" i="3"/>
  <c r="F236" i="3"/>
  <c r="G236" i="3"/>
  <c r="H236" i="3"/>
  <c r="I236" i="3"/>
  <c r="K236" i="3"/>
  <c r="L236" i="3"/>
  <c r="B237" i="3"/>
  <c r="D237" i="3"/>
  <c r="E237" i="3"/>
  <c r="F237" i="3"/>
  <c r="G237" i="3"/>
  <c r="H237" i="3"/>
  <c r="I237" i="3"/>
  <c r="K237" i="3"/>
  <c r="L237" i="3"/>
  <c r="B238" i="3"/>
  <c r="D238" i="3"/>
  <c r="E238" i="3"/>
  <c r="F238" i="3"/>
  <c r="G238" i="3"/>
  <c r="H238" i="3"/>
  <c r="I238" i="3"/>
  <c r="K238" i="3"/>
  <c r="L238" i="3"/>
  <c r="B239" i="3"/>
  <c r="D239" i="3"/>
  <c r="E239" i="3"/>
  <c r="F239" i="3"/>
  <c r="G239" i="3"/>
  <c r="H239" i="3"/>
  <c r="I239" i="3"/>
  <c r="K239" i="3"/>
  <c r="L239" i="3"/>
  <c r="B240" i="3"/>
  <c r="D240" i="3"/>
  <c r="E240" i="3"/>
  <c r="F240" i="3"/>
  <c r="G240" i="3"/>
  <c r="H240" i="3"/>
  <c r="I240" i="3"/>
  <c r="K240" i="3"/>
  <c r="L240" i="3"/>
  <c r="B241" i="3"/>
  <c r="D241" i="3"/>
  <c r="E241" i="3"/>
  <c r="F241" i="3"/>
  <c r="G241" i="3"/>
  <c r="H241" i="3"/>
  <c r="I241" i="3"/>
  <c r="K241" i="3"/>
  <c r="L241" i="3"/>
  <c r="B242" i="3"/>
  <c r="D242" i="3"/>
  <c r="E242" i="3"/>
  <c r="F242" i="3"/>
  <c r="G242" i="3"/>
  <c r="H242" i="3"/>
  <c r="I242" i="3"/>
  <c r="K242" i="3"/>
  <c r="L242" i="3"/>
  <c r="B243" i="3"/>
  <c r="D243" i="3"/>
  <c r="E243" i="3"/>
  <c r="F243" i="3"/>
  <c r="G243" i="3"/>
  <c r="H243" i="3"/>
  <c r="I243" i="3"/>
  <c r="K243" i="3"/>
  <c r="L243" i="3"/>
  <c r="B244" i="3"/>
  <c r="D244" i="3"/>
  <c r="E244" i="3"/>
  <c r="F244" i="3"/>
  <c r="G244" i="3"/>
  <c r="H244" i="3"/>
  <c r="I244" i="3"/>
  <c r="K244" i="3"/>
  <c r="L244" i="3"/>
  <c r="B245" i="3"/>
  <c r="D245" i="3"/>
  <c r="E245" i="3"/>
  <c r="F245" i="3"/>
  <c r="G245" i="3"/>
  <c r="H245" i="3"/>
  <c r="I245" i="3"/>
  <c r="K245" i="3"/>
  <c r="L245" i="3"/>
  <c r="B246" i="3"/>
  <c r="D246" i="3"/>
  <c r="E246" i="3"/>
  <c r="F246" i="3"/>
  <c r="G246" i="3"/>
  <c r="H246" i="3"/>
  <c r="I246" i="3"/>
  <c r="K246" i="3"/>
  <c r="L246" i="3"/>
  <c r="B247" i="3"/>
  <c r="D247" i="3"/>
  <c r="E247" i="3"/>
  <c r="F247" i="3"/>
  <c r="G247" i="3"/>
  <c r="H247" i="3"/>
  <c r="I247" i="3"/>
  <c r="K247" i="3"/>
  <c r="L247" i="3"/>
  <c r="B248" i="3"/>
  <c r="D248" i="3"/>
  <c r="E248" i="3"/>
  <c r="F248" i="3"/>
  <c r="G248" i="3"/>
  <c r="H248" i="3"/>
  <c r="I248" i="3"/>
  <c r="K248" i="3"/>
  <c r="L248" i="3"/>
  <c r="B249" i="3"/>
  <c r="D249" i="3"/>
  <c r="E249" i="3"/>
  <c r="F249" i="3"/>
  <c r="G249" i="3"/>
  <c r="H249" i="3"/>
  <c r="I249" i="3"/>
  <c r="K249" i="3"/>
  <c r="L249" i="3"/>
  <c r="B250" i="3"/>
  <c r="D250" i="3"/>
  <c r="E250" i="3"/>
  <c r="F250" i="3"/>
  <c r="G250" i="3"/>
  <c r="H250" i="3"/>
  <c r="I250" i="3"/>
  <c r="K250" i="3"/>
  <c r="L250" i="3"/>
  <c r="B251" i="3"/>
  <c r="D251" i="3"/>
  <c r="E251" i="3"/>
  <c r="F251" i="3"/>
  <c r="G251" i="3"/>
  <c r="H251" i="3"/>
  <c r="I251" i="3"/>
  <c r="K251" i="3"/>
  <c r="L251" i="3"/>
  <c r="B252" i="3"/>
  <c r="D252" i="3"/>
  <c r="E252" i="3"/>
  <c r="F252" i="3"/>
  <c r="G252" i="3"/>
  <c r="H252" i="3"/>
  <c r="I252" i="3"/>
  <c r="K252" i="3"/>
  <c r="L252" i="3"/>
  <c r="B253" i="3"/>
  <c r="D253" i="3"/>
  <c r="E253" i="3"/>
  <c r="F253" i="3"/>
  <c r="G253" i="3"/>
  <c r="H253" i="3"/>
  <c r="I253" i="3"/>
  <c r="K253" i="3"/>
  <c r="L253" i="3"/>
  <c r="B254" i="3"/>
  <c r="D254" i="3"/>
  <c r="E254" i="3"/>
  <c r="F254" i="3"/>
  <c r="G254" i="3"/>
  <c r="H254" i="3"/>
  <c r="I254" i="3"/>
  <c r="K254" i="3"/>
  <c r="L254" i="3"/>
  <c r="B255" i="3"/>
  <c r="D255" i="3"/>
  <c r="E255" i="3"/>
  <c r="F255" i="3"/>
  <c r="G255" i="3"/>
  <c r="H255" i="3"/>
  <c r="I255" i="3"/>
  <c r="K255" i="3"/>
  <c r="L255" i="3"/>
  <c r="B256" i="3"/>
  <c r="D256" i="3"/>
  <c r="E256" i="3"/>
  <c r="F256" i="3"/>
  <c r="G256" i="3"/>
  <c r="H256" i="3"/>
  <c r="I256" i="3"/>
  <c r="K256" i="3"/>
  <c r="L256" i="3"/>
  <c r="B257" i="3"/>
  <c r="D257" i="3"/>
  <c r="E257" i="3"/>
  <c r="F257" i="3"/>
  <c r="G257" i="3"/>
  <c r="H257" i="3"/>
  <c r="I257" i="3"/>
  <c r="K257" i="3"/>
  <c r="L257" i="3"/>
  <c r="B258" i="3"/>
  <c r="D258" i="3"/>
  <c r="E258" i="3"/>
  <c r="F258" i="3"/>
  <c r="G258" i="3"/>
  <c r="H258" i="3"/>
  <c r="I258" i="3"/>
  <c r="K258" i="3"/>
  <c r="L258" i="3"/>
  <c r="B259" i="3"/>
  <c r="D259" i="3"/>
  <c r="E259" i="3"/>
  <c r="F259" i="3"/>
  <c r="G259" i="3"/>
  <c r="H259" i="3"/>
  <c r="I259" i="3"/>
  <c r="K259" i="3"/>
  <c r="L259" i="3"/>
  <c r="B260" i="3"/>
  <c r="D260" i="3"/>
  <c r="E260" i="3"/>
  <c r="F260" i="3"/>
  <c r="G260" i="3"/>
  <c r="H260" i="3"/>
  <c r="I260" i="3"/>
  <c r="K260" i="3"/>
  <c r="L260" i="3"/>
  <c r="B261" i="3"/>
  <c r="D261" i="3"/>
  <c r="E261" i="3"/>
  <c r="F261" i="3"/>
  <c r="G261" i="3"/>
  <c r="H261" i="3"/>
  <c r="I261" i="3"/>
  <c r="K261" i="3"/>
  <c r="L261" i="3"/>
  <c r="B262" i="3"/>
  <c r="D262" i="3"/>
  <c r="E262" i="3"/>
  <c r="F262" i="3"/>
  <c r="G262" i="3"/>
  <c r="H262" i="3"/>
  <c r="I262" i="3"/>
  <c r="K262" i="3"/>
  <c r="L262" i="3"/>
  <c r="B263" i="3"/>
  <c r="D263" i="3"/>
  <c r="E263" i="3"/>
  <c r="F263" i="3"/>
  <c r="G263" i="3"/>
  <c r="H263" i="3"/>
  <c r="I263" i="3"/>
  <c r="K263" i="3"/>
  <c r="L263" i="3"/>
  <c r="B264" i="3"/>
  <c r="D264" i="3"/>
  <c r="E264" i="3"/>
  <c r="F264" i="3"/>
  <c r="G264" i="3"/>
  <c r="H264" i="3"/>
  <c r="I264" i="3"/>
  <c r="K264" i="3"/>
  <c r="L264" i="3"/>
  <c r="B265" i="3"/>
  <c r="D265" i="3"/>
  <c r="E265" i="3"/>
  <c r="F265" i="3"/>
  <c r="G265" i="3"/>
  <c r="H265" i="3"/>
  <c r="I265" i="3"/>
  <c r="K265" i="3"/>
  <c r="L265" i="3"/>
  <c r="B266" i="3"/>
  <c r="D266" i="3"/>
  <c r="E266" i="3"/>
  <c r="F266" i="3"/>
  <c r="G266" i="3"/>
  <c r="H266" i="3"/>
  <c r="I266" i="3"/>
  <c r="K266" i="3"/>
  <c r="L266" i="3"/>
  <c r="B267" i="3"/>
  <c r="D267" i="3"/>
  <c r="E267" i="3"/>
  <c r="F267" i="3"/>
  <c r="G267" i="3"/>
  <c r="H267" i="3"/>
  <c r="I267" i="3"/>
  <c r="K267" i="3"/>
  <c r="L267" i="3"/>
  <c r="B268" i="3"/>
  <c r="D268" i="3"/>
  <c r="E268" i="3"/>
  <c r="F268" i="3"/>
  <c r="G268" i="3"/>
  <c r="H268" i="3"/>
  <c r="I268" i="3"/>
  <c r="K268" i="3"/>
  <c r="L268" i="3"/>
  <c r="B269" i="3"/>
  <c r="D269" i="3"/>
  <c r="E269" i="3"/>
  <c r="F269" i="3"/>
  <c r="G269" i="3"/>
  <c r="H269" i="3"/>
  <c r="I269" i="3"/>
  <c r="K269" i="3"/>
  <c r="L269" i="3"/>
  <c r="B270" i="3"/>
  <c r="D270" i="3"/>
  <c r="E270" i="3"/>
  <c r="F270" i="3"/>
  <c r="G270" i="3"/>
  <c r="H270" i="3"/>
  <c r="I270" i="3"/>
  <c r="K270" i="3"/>
  <c r="L270" i="3"/>
  <c r="B271" i="3"/>
  <c r="D271" i="3"/>
  <c r="E271" i="3"/>
  <c r="F271" i="3"/>
  <c r="G271" i="3"/>
  <c r="H271" i="3"/>
  <c r="I271" i="3"/>
  <c r="K271" i="3"/>
  <c r="L271" i="3"/>
  <c r="B272" i="3"/>
  <c r="D272" i="3"/>
  <c r="E272" i="3"/>
  <c r="F272" i="3"/>
  <c r="G272" i="3"/>
  <c r="H272" i="3"/>
  <c r="I272" i="3"/>
  <c r="K272" i="3"/>
  <c r="L272" i="3"/>
  <c r="B273" i="3"/>
  <c r="D273" i="3"/>
  <c r="E273" i="3"/>
  <c r="F273" i="3"/>
  <c r="G273" i="3"/>
  <c r="H273" i="3"/>
  <c r="I273" i="3"/>
  <c r="K273" i="3"/>
  <c r="L273" i="3"/>
  <c r="B274" i="3"/>
  <c r="D274" i="3"/>
  <c r="E274" i="3"/>
  <c r="F274" i="3"/>
  <c r="G274" i="3"/>
  <c r="H274" i="3"/>
  <c r="I274" i="3"/>
  <c r="K274" i="3"/>
  <c r="L274" i="3"/>
  <c r="B275" i="3"/>
  <c r="D275" i="3"/>
  <c r="E275" i="3"/>
  <c r="F275" i="3"/>
  <c r="G275" i="3"/>
  <c r="H275" i="3"/>
  <c r="I275" i="3"/>
  <c r="K275" i="3"/>
  <c r="L275" i="3"/>
  <c r="B276" i="3"/>
  <c r="D276" i="3"/>
  <c r="E276" i="3"/>
  <c r="F276" i="3"/>
  <c r="G276" i="3"/>
  <c r="H276" i="3"/>
  <c r="I276" i="3"/>
  <c r="K276" i="3"/>
  <c r="L276" i="3"/>
  <c r="B277" i="3"/>
  <c r="D277" i="3"/>
  <c r="E277" i="3"/>
  <c r="F277" i="3"/>
  <c r="G277" i="3"/>
  <c r="H277" i="3"/>
  <c r="I277" i="3"/>
  <c r="K277" i="3"/>
  <c r="L277" i="3"/>
  <c r="B278" i="3"/>
  <c r="D278" i="3"/>
  <c r="E278" i="3"/>
  <c r="F278" i="3"/>
  <c r="G278" i="3"/>
  <c r="H278" i="3"/>
  <c r="I278" i="3"/>
  <c r="K278" i="3"/>
  <c r="L278" i="3"/>
  <c r="B279" i="3"/>
  <c r="D279" i="3"/>
  <c r="E279" i="3"/>
  <c r="F279" i="3"/>
  <c r="G279" i="3"/>
  <c r="H279" i="3"/>
  <c r="I279" i="3"/>
  <c r="K279" i="3"/>
  <c r="L279" i="3"/>
  <c r="B280" i="3"/>
  <c r="D280" i="3"/>
  <c r="E280" i="3"/>
  <c r="F280" i="3"/>
  <c r="G280" i="3"/>
  <c r="H280" i="3"/>
  <c r="I280" i="3"/>
  <c r="K280" i="3"/>
  <c r="L280" i="3"/>
  <c r="B281" i="3"/>
  <c r="D281" i="3"/>
  <c r="E281" i="3"/>
  <c r="F281" i="3"/>
  <c r="G281" i="3"/>
  <c r="H281" i="3"/>
  <c r="I281" i="3"/>
  <c r="K281" i="3"/>
  <c r="L281" i="3"/>
  <c r="B282" i="3"/>
  <c r="D282" i="3"/>
  <c r="E282" i="3"/>
  <c r="F282" i="3"/>
  <c r="G282" i="3"/>
  <c r="H282" i="3"/>
  <c r="I282" i="3"/>
  <c r="K282" i="3"/>
  <c r="L282" i="3"/>
  <c r="B283" i="3"/>
  <c r="D283" i="3"/>
  <c r="E283" i="3"/>
  <c r="F283" i="3"/>
  <c r="G283" i="3"/>
  <c r="H283" i="3"/>
  <c r="I283" i="3"/>
  <c r="K283" i="3"/>
  <c r="L283" i="3"/>
  <c r="B284" i="3"/>
  <c r="D284" i="3"/>
  <c r="E284" i="3"/>
  <c r="F284" i="3"/>
  <c r="G284" i="3"/>
  <c r="H284" i="3"/>
  <c r="I284" i="3"/>
  <c r="K284" i="3"/>
  <c r="L284" i="3"/>
  <c r="B285" i="3"/>
  <c r="D285" i="3"/>
  <c r="E285" i="3"/>
  <c r="F285" i="3"/>
  <c r="G285" i="3"/>
  <c r="H285" i="3"/>
  <c r="I285" i="3"/>
  <c r="K285" i="3"/>
  <c r="L285" i="3"/>
  <c r="B286" i="3"/>
  <c r="D286" i="3"/>
  <c r="E286" i="3"/>
  <c r="F286" i="3"/>
  <c r="G286" i="3"/>
  <c r="H286" i="3"/>
  <c r="I286" i="3"/>
  <c r="K286" i="3"/>
  <c r="L286" i="3"/>
  <c r="B287" i="3"/>
  <c r="D287" i="3"/>
  <c r="E287" i="3"/>
  <c r="F287" i="3"/>
  <c r="G287" i="3"/>
  <c r="H287" i="3"/>
  <c r="I287" i="3"/>
  <c r="K287" i="3"/>
  <c r="L287" i="3"/>
  <c r="B288" i="3"/>
  <c r="D288" i="3"/>
  <c r="E288" i="3"/>
  <c r="F288" i="3"/>
  <c r="G288" i="3"/>
  <c r="H288" i="3"/>
  <c r="I288" i="3"/>
  <c r="K288" i="3"/>
  <c r="L288" i="3"/>
  <c r="B289" i="3"/>
  <c r="D289" i="3"/>
  <c r="E289" i="3"/>
  <c r="F289" i="3"/>
  <c r="G289" i="3"/>
  <c r="H289" i="3"/>
  <c r="I289" i="3"/>
  <c r="K289" i="3"/>
  <c r="L289" i="3"/>
  <c r="B290" i="3"/>
  <c r="D290" i="3"/>
  <c r="E290" i="3"/>
  <c r="F290" i="3"/>
  <c r="G290" i="3"/>
  <c r="H290" i="3"/>
  <c r="I290" i="3"/>
  <c r="K290" i="3"/>
  <c r="L290" i="3"/>
  <c r="B291" i="3"/>
  <c r="D291" i="3"/>
  <c r="E291" i="3"/>
  <c r="F291" i="3"/>
  <c r="G291" i="3"/>
  <c r="H291" i="3"/>
  <c r="I291" i="3"/>
  <c r="K291" i="3"/>
  <c r="L291" i="3"/>
  <c r="B292" i="3"/>
  <c r="D292" i="3"/>
  <c r="E292" i="3"/>
  <c r="F292" i="3"/>
  <c r="G292" i="3"/>
  <c r="H292" i="3"/>
  <c r="I292" i="3"/>
  <c r="K292" i="3"/>
  <c r="L292" i="3"/>
  <c r="B293" i="3"/>
  <c r="D293" i="3"/>
  <c r="E293" i="3"/>
  <c r="F293" i="3"/>
  <c r="G293" i="3"/>
  <c r="H293" i="3"/>
  <c r="I293" i="3"/>
  <c r="K293" i="3"/>
  <c r="L293" i="3"/>
  <c r="B294" i="3"/>
  <c r="D294" i="3"/>
  <c r="E294" i="3"/>
  <c r="F294" i="3"/>
  <c r="G294" i="3"/>
  <c r="H294" i="3"/>
  <c r="I294" i="3"/>
  <c r="K294" i="3"/>
  <c r="L294" i="3"/>
  <c r="B295" i="3"/>
  <c r="D295" i="3"/>
  <c r="E295" i="3"/>
  <c r="F295" i="3"/>
  <c r="G295" i="3"/>
  <c r="H295" i="3"/>
  <c r="I295" i="3"/>
  <c r="K295" i="3"/>
  <c r="L295" i="3"/>
  <c r="B296" i="3"/>
  <c r="D296" i="3"/>
  <c r="E296" i="3"/>
  <c r="F296" i="3"/>
  <c r="G296" i="3"/>
  <c r="H296" i="3"/>
  <c r="I296" i="3"/>
  <c r="K296" i="3"/>
  <c r="L296" i="3"/>
  <c r="B297" i="3"/>
  <c r="D297" i="3"/>
  <c r="E297" i="3"/>
  <c r="F297" i="3"/>
  <c r="G297" i="3"/>
  <c r="H297" i="3"/>
  <c r="I297" i="3"/>
  <c r="K297" i="3"/>
  <c r="L297" i="3"/>
  <c r="B298" i="3"/>
  <c r="D298" i="3"/>
  <c r="E298" i="3"/>
  <c r="F298" i="3"/>
  <c r="G298" i="3"/>
  <c r="H298" i="3"/>
  <c r="I298" i="3"/>
  <c r="K298" i="3"/>
  <c r="L298" i="3"/>
  <c r="B299" i="3"/>
  <c r="D299" i="3"/>
  <c r="E299" i="3"/>
  <c r="F299" i="3"/>
  <c r="G299" i="3"/>
  <c r="H299" i="3"/>
  <c r="I299" i="3"/>
  <c r="K299" i="3"/>
  <c r="L299" i="3"/>
  <c r="B300" i="3"/>
  <c r="D300" i="3"/>
  <c r="E300" i="3"/>
  <c r="F300" i="3"/>
  <c r="G300" i="3"/>
  <c r="H300" i="3"/>
  <c r="I300" i="3"/>
  <c r="K300" i="3"/>
  <c r="L300" i="3"/>
  <c r="B301" i="3"/>
  <c r="D301" i="3"/>
  <c r="E301" i="3"/>
  <c r="F301" i="3"/>
  <c r="G301" i="3"/>
  <c r="H301" i="3"/>
  <c r="I301" i="3"/>
  <c r="K301" i="3"/>
  <c r="L301" i="3"/>
  <c r="B302" i="3"/>
  <c r="D302" i="3"/>
  <c r="E302" i="3"/>
  <c r="F302" i="3"/>
  <c r="G302" i="3"/>
  <c r="H302" i="3"/>
  <c r="I302" i="3"/>
  <c r="K302" i="3"/>
  <c r="L302" i="3"/>
  <c r="B303" i="3"/>
  <c r="D303" i="3"/>
  <c r="E303" i="3"/>
  <c r="F303" i="3"/>
  <c r="G303" i="3"/>
  <c r="H303" i="3"/>
  <c r="I303" i="3"/>
  <c r="K303" i="3"/>
  <c r="L303" i="3"/>
  <c r="B304" i="3"/>
  <c r="D304" i="3"/>
  <c r="E304" i="3"/>
  <c r="F304" i="3"/>
  <c r="G304" i="3"/>
  <c r="H304" i="3"/>
  <c r="I304" i="3"/>
  <c r="K304" i="3"/>
  <c r="L304" i="3"/>
  <c r="B305" i="3"/>
  <c r="D305" i="3"/>
  <c r="E305" i="3"/>
  <c r="F305" i="3"/>
  <c r="G305" i="3"/>
  <c r="H305" i="3"/>
  <c r="I305" i="3"/>
  <c r="K305" i="3"/>
  <c r="L305" i="3"/>
  <c r="B306" i="3"/>
  <c r="D306" i="3"/>
  <c r="E306" i="3"/>
  <c r="F306" i="3"/>
  <c r="G306" i="3"/>
  <c r="H306" i="3"/>
  <c r="I306" i="3"/>
  <c r="K306" i="3"/>
  <c r="L306" i="3"/>
  <c r="B307" i="3"/>
  <c r="D307" i="3"/>
  <c r="E307" i="3"/>
  <c r="F307" i="3"/>
  <c r="G307" i="3"/>
  <c r="H307" i="3"/>
  <c r="I307" i="3"/>
  <c r="K307" i="3"/>
  <c r="L307" i="3"/>
  <c r="B308" i="3"/>
  <c r="D308" i="3"/>
  <c r="E308" i="3"/>
  <c r="F308" i="3"/>
  <c r="G308" i="3"/>
  <c r="H308" i="3"/>
  <c r="I308" i="3"/>
  <c r="K308" i="3"/>
  <c r="L308" i="3"/>
  <c r="B309" i="3"/>
  <c r="D309" i="3"/>
  <c r="E309" i="3"/>
  <c r="F309" i="3"/>
  <c r="G309" i="3"/>
  <c r="H309" i="3"/>
  <c r="I309" i="3"/>
  <c r="K309" i="3"/>
  <c r="L309" i="3"/>
  <c r="B310" i="3"/>
  <c r="D310" i="3"/>
  <c r="E310" i="3"/>
  <c r="F310" i="3"/>
  <c r="G310" i="3"/>
  <c r="H310" i="3"/>
  <c r="I310" i="3"/>
  <c r="K310" i="3"/>
  <c r="L310" i="3"/>
  <c r="B311" i="3"/>
  <c r="D311" i="3"/>
  <c r="E311" i="3"/>
  <c r="F311" i="3"/>
  <c r="G311" i="3"/>
  <c r="H311" i="3"/>
  <c r="I311" i="3"/>
  <c r="K311" i="3"/>
  <c r="L311" i="3"/>
  <c r="B312" i="3"/>
  <c r="D312" i="3"/>
  <c r="E312" i="3"/>
  <c r="F312" i="3"/>
  <c r="G312" i="3"/>
  <c r="H312" i="3"/>
  <c r="I312" i="3"/>
  <c r="K312" i="3"/>
  <c r="L312" i="3"/>
  <c r="B313" i="3"/>
  <c r="D313" i="3"/>
  <c r="E313" i="3"/>
  <c r="F313" i="3"/>
  <c r="G313" i="3"/>
  <c r="H313" i="3"/>
  <c r="I313" i="3"/>
  <c r="K313" i="3"/>
  <c r="L313" i="3"/>
  <c r="B314" i="3"/>
  <c r="D314" i="3"/>
  <c r="E314" i="3"/>
  <c r="F314" i="3"/>
  <c r="G314" i="3"/>
  <c r="H314" i="3"/>
  <c r="I314" i="3"/>
  <c r="K314" i="3"/>
  <c r="L314" i="3"/>
  <c r="B315" i="3"/>
  <c r="D315" i="3"/>
  <c r="E315" i="3"/>
  <c r="F315" i="3"/>
  <c r="G315" i="3"/>
  <c r="H315" i="3"/>
  <c r="I315" i="3"/>
  <c r="K315" i="3"/>
  <c r="L315" i="3"/>
  <c r="B316" i="3"/>
  <c r="D316" i="3"/>
  <c r="E316" i="3"/>
  <c r="F316" i="3"/>
  <c r="G316" i="3"/>
  <c r="H316" i="3"/>
  <c r="I316" i="3"/>
  <c r="K316" i="3"/>
  <c r="L316" i="3"/>
  <c r="B317" i="3"/>
  <c r="D317" i="3"/>
  <c r="E317" i="3"/>
  <c r="F317" i="3"/>
  <c r="G317" i="3"/>
  <c r="H317" i="3"/>
  <c r="I317" i="3"/>
  <c r="K317" i="3"/>
  <c r="L317" i="3"/>
  <c r="B318" i="3"/>
  <c r="D318" i="3"/>
  <c r="E318" i="3"/>
  <c r="F318" i="3"/>
  <c r="G318" i="3"/>
  <c r="H318" i="3"/>
  <c r="I318" i="3"/>
  <c r="K318" i="3"/>
  <c r="L318" i="3"/>
  <c r="B319" i="3"/>
  <c r="D319" i="3"/>
  <c r="E319" i="3"/>
  <c r="F319" i="3"/>
  <c r="G319" i="3"/>
  <c r="H319" i="3"/>
  <c r="I319" i="3"/>
  <c r="K319" i="3"/>
  <c r="L319" i="3"/>
  <c r="B320" i="3"/>
  <c r="D320" i="3"/>
  <c r="E320" i="3"/>
  <c r="F320" i="3"/>
  <c r="G320" i="3"/>
  <c r="H320" i="3"/>
  <c r="I320" i="3"/>
  <c r="K320" i="3"/>
  <c r="L320" i="3"/>
  <c r="B321" i="3"/>
  <c r="D321" i="3"/>
  <c r="E321" i="3"/>
  <c r="F321" i="3"/>
  <c r="G321" i="3"/>
  <c r="H321" i="3"/>
  <c r="I321" i="3"/>
  <c r="K321" i="3"/>
  <c r="L321" i="3"/>
  <c r="B322" i="3"/>
  <c r="D322" i="3"/>
  <c r="E322" i="3"/>
  <c r="F322" i="3"/>
  <c r="G322" i="3"/>
  <c r="H322" i="3"/>
  <c r="I322" i="3"/>
  <c r="K322" i="3"/>
  <c r="L322" i="3"/>
  <c r="B323" i="3"/>
  <c r="D323" i="3"/>
  <c r="E323" i="3"/>
  <c r="F323" i="3"/>
  <c r="G323" i="3"/>
  <c r="H323" i="3"/>
  <c r="I323" i="3"/>
  <c r="K323" i="3"/>
  <c r="L323" i="3"/>
  <c r="B324" i="3"/>
  <c r="D324" i="3"/>
  <c r="E324" i="3"/>
  <c r="F324" i="3"/>
  <c r="G324" i="3"/>
  <c r="H324" i="3"/>
  <c r="I324" i="3"/>
  <c r="K324" i="3"/>
  <c r="L324" i="3"/>
  <c r="B325" i="3"/>
  <c r="D325" i="3"/>
  <c r="E325" i="3"/>
  <c r="F325" i="3"/>
  <c r="G325" i="3"/>
  <c r="H325" i="3"/>
  <c r="I325" i="3"/>
  <c r="K325" i="3"/>
  <c r="L325" i="3"/>
  <c r="B326" i="3"/>
  <c r="D326" i="3"/>
  <c r="E326" i="3"/>
  <c r="F326" i="3"/>
  <c r="G326" i="3"/>
  <c r="H326" i="3"/>
  <c r="I326" i="3"/>
  <c r="K326" i="3"/>
  <c r="L326" i="3"/>
  <c r="B327" i="3"/>
  <c r="D327" i="3"/>
  <c r="E327" i="3"/>
  <c r="F327" i="3"/>
  <c r="G327" i="3"/>
  <c r="H327" i="3"/>
  <c r="I327" i="3"/>
  <c r="K327" i="3"/>
  <c r="L327" i="3"/>
  <c r="B328" i="3"/>
  <c r="D328" i="3"/>
  <c r="E328" i="3"/>
  <c r="F328" i="3"/>
  <c r="G328" i="3"/>
  <c r="H328" i="3"/>
  <c r="I328" i="3"/>
  <c r="K328" i="3"/>
  <c r="L328" i="3"/>
  <c r="B329" i="3"/>
  <c r="D329" i="3"/>
  <c r="E329" i="3"/>
  <c r="F329" i="3"/>
  <c r="G329" i="3"/>
  <c r="H329" i="3"/>
  <c r="I329" i="3"/>
  <c r="K329" i="3"/>
  <c r="L329" i="3"/>
  <c r="B330" i="3"/>
  <c r="D330" i="3"/>
  <c r="E330" i="3"/>
  <c r="F330" i="3"/>
  <c r="G330" i="3"/>
  <c r="H330" i="3"/>
  <c r="I330" i="3"/>
  <c r="K330" i="3"/>
  <c r="L330" i="3"/>
  <c r="B331" i="3"/>
  <c r="D331" i="3"/>
  <c r="E331" i="3"/>
  <c r="F331" i="3"/>
  <c r="G331" i="3"/>
  <c r="H331" i="3"/>
  <c r="I331" i="3"/>
  <c r="K331" i="3"/>
  <c r="L331" i="3"/>
  <c r="B332" i="3"/>
  <c r="D332" i="3"/>
  <c r="E332" i="3"/>
  <c r="F332" i="3"/>
  <c r="G332" i="3"/>
  <c r="H332" i="3"/>
  <c r="I332" i="3"/>
  <c r="K332" i="3"/>
  <c r="L332" i="3"/>
  <c r="B333" i="3"/>
  <c r="D333" i="3"/>
  <c r="E333" i="3"/>
  <c r="F333" i="3"/>
  <c r="G333" i="3"/>
  <c r="H333" i="3"/>
  <c r="I333" i="3"/>
  <c r="K333" i="3"/>
  <c r="L333" i="3"/>
  <c r="B334" i="3"/>
  <c r="D334" i="3"/>
  <c r="E334" i="3"/>
  <c r="F334" i="3"/>
  <c r="G334" i="3"/>
  <c r="H334" i="3"/>
  <c r="I334" i="3"/>
  <c r="K334" i="3"/>
  <c r="L334" i="3"/>
  <c r="B335" i="3"/>
  <c r="D335" i="3"/>
  <c r="E335" i="3"/>
  <c r="F335" i="3"/>
  <c r="G335" i="3"/>
  <c r="H335" i="3"/>
  <c r="I335" i="3"/>
  <c r="K335" i="3"/>
  <c r="L335" i="3"/>
  <c r="B336" i="3"/>
  <c r="D336" i="3"/>
  <c r="E336" i="3"/>
  <c r="F336" i="3"/>
  <c r="G336" i="3"/>
  <c r="H336" i="3"/>
  <c r="I336" i="3"/>
  <c r="K336" i="3"/>
  <c r="L336" i="3"/>
  <c r="B337" i="3"/>
  <c r="D337" i="3"/>
  <c r="E337" i="3"/>
  <c r="F337" i="3"/>
  <c r="G337" i="3"/>
  <c r="H337" i="3"/>
  <c r="I337" i="3"/>
  <c r="K337" i="3"/>
  <c r="L337" i="3"/>
  <c r="B338" i="3"/>
  <c r="D338" i="3"/>
  <c r="E338" i="3"/>
  <c r="F338" i="3"/>
  <c r="G338" i="3"/>
  <c r="H338" i="3"/>
  <c r="I338" i="3"/>
  <c r="K338" i="3"/>
  <c r="L338" i="3"/>
  <c r="B339" i="3"/>
  <c r="D339" i="3"/>
  <c r="E339" i="3"/>
  <c r="F339" i="3"/>
  <c r="G339" i="3"/>
  <c r="H339" i="3"/>
  <c r="I339" i="3"/>
  <c r="K339" i="3"/>
  <c r="L339" i="3"/>
  <c r="B340" i="3"/>
  <c r="D340" i="3"/>
  <c r="E340" i="3"/>
  <c r="F340" i="3"/>
  <c r="G340" i="3"/>
  <c r="H340" i="3"/>
  <c r="I340" i="3"/>
  <c r="K340" i="3"/>
  <c r="L340" i="3"/>
  <c r="B341" i="3"/>
  <c r="D341" i="3"/>
  <c r="E341" i="3"/>
  <c r="F341" i="3"/>
  <c r="G341" i="3"/>
  <c r="H341" i="3"/>
  <c r="I341" i="3"/>
  <c r="K341" i="3"/>
  <c r="L341" i="3"/>
  <c r="B342" i="3"/>
  <c r="D342" i="3"/>
  <c r="E342" i="3"/>
  <c r="F342" i="3"/>
  <c r="G342" i="3"/>
  <c r="H342" i="3"/>
  <c r="I342" i="3"/>
  <c r="K342" i="3"/>
  <c r="L342" i="3"/>
  <c r="B343" i="3"/>
  <c r="D343" i="3"/>
  <c r="E343" i="3"/>
  <c r="F343" i="3"/>
  <c r="G343" i="3"/>
  <c r="H343" i="3"/>
  <c r="I343" i="3"/>
  <c r="K343" i="3"/>
  <c r="L343" i="3"/>
  <c r="B344" i="3"/>
  <c r="D344" i="3"/>
  <c r="E344" i="3"/>
  <c r="F344" i="3"/>
  <c r="G344" i="3"/>
  <c r="H344" i="3"/>
  <c r="I344" i="3"/>
  <c r="K344" i="3"/>
  <c r="L344" i="3"/>
  <c r="B345" i="3"/>
  <c r="D345" i="3"/>
  <c r="E345" i="3"/>
  <c r="F345" i="3"/>
  <c r="G345" i="3"/>
  <c r="H345" i="3"/>
  <c r="I345" i="3"/>
  <c r="K345" i="3"/>
  <c r="L345" i="3"/>
  <c r="B346" i="3"/>
  <c r="D346" i="3"/>
  <c r="E346" i="3"/>
  <c r="F346" i="3"/>
  <c r="G346" i="3"/>
  <c r="H346" i="3"/>
  <c r="I346" i="3"/>
  <c r="K346" i="3"/>
  <c r="L346" i="3"/>
  <c r="B347" i="3"/>
  <c r="D347" i="3"/>
  <c r="E347" i="3"/>
  <c r="F347" i="3"/>
  <c r="G347" i="3"/>
  <c r="H347" i="3"/>
  <c r="I347" i="3"/>
  <c r="K347" i="3"/>
  <c r="L347" i="3"/>
  <c r="B348" i="3"/>
  <c r="D348" i="3"/>
  <c r="E348" i="3"/>
  <c r="F348" i="3"/>
  <c r="G348" i="3"/>
  <c r="H348" i="3"/>
  <c r="I348" i="3"/>
  <c r="K348" i="3"/>
  <c r="L348" i="3"/>
  <c r="B349" i="3"/>
  <c r="D349" i="3"/>
  <c r="E349" i="3"/>
  <c r="F349" i="3"/>
  <c r="G349" i="3"/>
  <c r="H349" i="3"/>
  <c r="I349" i="3"/>
  <c r="K349" i="3"/>
  <c r="L349" i="3"/>
  <c r="B350" i="3"/>
  <c r="D350" i="3"/>
  <c r="E350" i="3"/>
  <c r="F350" i="3"/>
  <c r="G350" i="3"/>
  <c r="H350" i="3"/>
  <c r="I350" i="3"/>
  <c r="K350" i="3"/>
  <c r="L350" i="3"/>
  <c r="B351" i="3"/>
  <c r="D351" i="3"/>
  <c r="E351" i="3"/>
  <c r="F351" i="3"/>
  <c r="G351" i="3"/>
  <c r="H351" i="3"/>
  <c r="I351" i="3"/>
  <c r="K351" i="3"/>
  <c r="L351" i="3"/>
  <c r="B352" i="3"/>
  <c r="D352" i="3"/>
  <c r="E352" i="3"/>
  <c r="F352" i="3"/>
  <c r="G352" i="3"/>
  <c r="H352" i="3"/>
  <c r="I352" i="3"/>
  <c r="K352" i="3"/>
  <c r="L352" i="3"/>
  <c r="B353" i="3"/>
  <c r="D353" i="3"/>
  <c r="E353" i="3"/>
  <c r="F353" i="3"/>
  <c r="G353" i="3"/>
  <c r="H353" i="3"/>
  <c r="I353" i="3"/>
  <c r="K353" i="3"/>
  <c r="L353" i="3"/>
  <c r="B354" i="3"/>
  <c r="D354" i="3"/>
  <c r="E354" i="3"/>
  <c r="F354" i="3"/>
  <c r="G354" i="3"/>
  <c r="H354" i="3"/>
  <c r="I354" i="3"/>
  <c r="K354" i="3"/>
  <c r="L354" i="3"/>
  <c r="B355" i="3"/>
  <c r="D355" i="3"/>
  <c r="E355" i="3"/>
  <c r="F355" i="3"/>
  <c r="G355" i="3"/>
  <c r="H355" i="3"/>
  <c r="I355" i="3"/>
  <c r="K355" i="3"/>
  <c r="L355" i="3"/>
  <c r="B356" i="3"/>
  <c r="D356" i="3"/>
  <c r="E356" i="3"/>
  <c r="F356" i="3"/>
  <c r="G356" i="3"/>
  <c r="H356" i="3"/>
  <c r="I356" i="3"/>
  <c r="K356" i="3"/>
  <c r="L356" i="3"/>
  <c r="G14" i="2"/>
  <c r="B103" i="3"/>
  <c r="D103" i="3"/>
  <c r="E103" i="3"/>
  <c r="F103" i="3"/>
  <c r="G103" i="3"/>
  <c r="H103" i="3"/>
  <c r="I103" i="3"/>
  <c r="K103" i="3"/>
  <c r="L103" i="3"/>
  <c r="B104" i="3"/>
  <c r="D104" i="3"/>
  <c r="E104" i="3"/>
  <c r="F104" i="3"/>
  <c r="G104" i="3"/>
  <c r="H104" i="3"/>
  <c r="I104" i="3"/>
  <c r="K104" i="3"/>
  <c r="L104" i="3"/>
  <c r="N3" i="3"/>
  <c r="C19" i="2"/>
  <c r="G13" i="2"/>
  <c r="D5" i="3"/>
  <c r="E5" i="3"/>
  <c r="F5" i="3"/>
  <c r="G5" i="3"/>
  <c r="H5" i="3"/>
  <c r="I5" i="3"/>
  <c r="D6" i="3"/>
  <c r="E6" i="3"/>
  <c r="F6" i="3"/>
  <c r="G6" i="3"/>
  <c r="H6" i="3"/>
  <c r="I6" i="3"/>
  <c r="D7" i="3"/>
  <c r="E7" i="3"/>
  <c r="F7" i="3"/>
  <c r="G7" i="3"/>
  <c r="H7" i="3"/>
  <c r="I7" i="3"/>
  <c r="D8" i="3"/>
  <c r="E8" i="3"/>
  <c r="F8" i="3"/>
  <c r="G8" i="3"/>
  <c r="H8" i="3"/>
  <c r="I8" i="3"/>
  <c r="D9" i="3"/>
  <c r="E9" i="3"/>
  <c r="F9" i="3"/>
  <c r="G9" i="3"/>
  <c r="H9" i="3"/>
  <c r="I9" i="3"/>
  <c r="D10" i="3"/>
  <c r="E10" i="3"/>
  <c r="F10" i="3"/>
  <c r="G10" i="3"/>
  <c r="H10" i="3"/>
  <c r="I10" i="3"/>
  <c r="D11" i="3"/>
  <c r="E11" i="3"/>
  <c r="F11" i="3"/>
  <c r="G11" i="3"/>
  <c r="H11" i="3"/>
  <c r="I11" i="3"/>
  <c r="D12" i="3"/>
  <c r="E12" i="3"/>
  <c r="F12" i="3"/>
  <c r="G12" i="3"/>
  <c r="H12" i="3"/>
  <c r="I12" i="3"/>
  <c r="D13" i="3"/>
  <c r="E13" i="3"/>
  <c r="F13" i="3"/>
  <c r="G13" i="3"/>
  <c r="H13" i="3"/>
  <c r="I13" i="3"/>
  <c r="D14" i="3"/>
  <c r="E14" i="3"/>
  <c r="F14" i="3"/>
  <c r="G14" i="3"/>
  <c r="H14" i="3"/>
  <c r="I14" i="3"/>
  <c r="D15" i="3"/>
  <c r="E15" i="3"/>
  <c r="F15" i="3"/>
  <c r="G15" i="3"/>
  <c r="H15" i="3"/>
  <c r="I15" i="3"/>
  <c r="D16" i="3"/>
  <c r="E16" i="3"/>
  <c r="F16" i="3"/>
  <c r="G16" i="3"/>
  <c r="H16" i="3"/>
  <c r="I16" i="3"/>
  <c r="D17" i="3"/>
  <c r="E17" i="3"/>
  <c r="F17" i="3"/>
  <c r="G17" i="3"/>
  <c r="H17" i="3"/>
  <c r="I17" i="3"/>
  <c r="D18" i="3"/>
  <c r="E18" i="3"/>
  <c r="F18" i="3"/>
  <c r="G18" i="3"/>
  <c r="H18" i="3"/>
  <c r="I18" i="3"/>
  <c r="D19" i="3"/>
  <c r="E19" i="3"/>
  <c r="F19" i="3"/>
  <c r="G19" i="3"/>
  <c r="H19" i="3"/>
  <c r="I19" i="3"/>
  <c r="D20" i="3"/>
  <c r="E20" i="3"/>
  <c r="F20" i="3"/>
  <c r="G20" i="3"/>
  <c r="H20" i="3"/>
  <c r="I20" i="3"/>
  <c r="D21" i="3"/>
  <c r="E21" i="3"/>
  <c r="F21" i="3"/>
  <c r="G21" i="3"/>
  <c r="H21" i="3"/>
  <c r="I21" i="3"/>
  <c r="D22" i="3"/>
  <c r="E22" i="3"/>
  <c r="F22" i="3"/>
  <c r="G22" i="3"/>
  <c r="H22" i="3"/>
  <c r="I22" i="3"/>
  <c r="D23" i="3"/>
  <c r="E23" i="3"/>
  <c r="F23" i="3"/>
  <c r="G23" i="3"/>
  <c r="H23" i="3"/>
  <c r="I23" i="3"/>
  <c r="D24" i="3"/>
  <c r="E24" i="3"/>
  <c r="F24" i="3"/>
  <c r="G24" i="3"/>
  <c r="H24" i="3"/>
  <c r="I24" i="3"/>
  <c r="D25" i="3"/>
  <c r="E25" i="3"/>
  <c r="F25" i="3"/>
  <c r="G25" i="3"/>
  <c r="H25" i="3"/>
  <c r="I25" i="3"/>
  <c r="D26" i="3"/>
  <c r="E26" i="3"/>
  <c r="F26" i="3"/>
  <c r="G26" i="3"/>
  <c r="H26" i="3"/>
  <c r="I26" i="3"/>
  <c r="D27" i="3"/>
  <c r="E27" i="3"/>
  <c r="F27" i="3"/>
  <c r="G27" i="3"/>
  <c r="H27" i="3"/>
  <c r="I27" i="3"/>
  <c r="D28" i="3"/>
  <c r="E28" i="3"/>
  <c r="F28" i="3"/>
  <c r="G28" i="3"/>
  <c r="H28" i="3"/>
  <c r="I28" i="3"/>
  <c r="D29" i="3"/>
  <c r="E29" i="3"/>
  <c r="F29" i="3"/>
  <c r="G29" i="3"/>
  <c r="H29" i="3"/>
  <c r="I29" i="3"/>
  <c r="D30" i="3"/>
  <c r="E30" i="3"/>
  <c r="F30" i="3"/>
  <c r="G30" i="3"/>
  <c r="H30" i="3"/>
  <c r="I30" i="3"/>
  <c r="D31" i="3"/>
  <c r="E31" i="3"/>
  <c r="F31" i="3"/>
  <c r="G31" i="3"/>
  <c r="H31" i="3"/>
  <c r="I31" i="3"/>
  <c r="D32" i="3"/>
  <c r="E32" i="3"/>
  <c r="F32" i="3"/>
  <c r="G32" i="3"/>
  <c r="H32" i="3"/>
  <c r="I32" i="3"/>
  <c r="D33" i="3"/>
  <c r="E33" i="3"/>
  <c r="F33" i="3"/>
  <c r="G33" i="3"/>
  <c r="H33" i="3"/>
  <c r="I33" i="3"/>
  <c r="D34" i="3"/>
  <c r="E34" i="3"/>
  <c r="F34" i="3"/>
  <c r="G34" i="3"/>
  <c r="H34" i="3"/>
  <c r="I34" i="3"/>
  <c r="D35" i="3"/>
  <c r="E35" i="3"/>
  <c r="F35" i="3"/>
  <c r="G35" i="3"/>
  <c r="H35" i="3"/>
  <c r="I35" i="3"/>
  <c r="D36" i="3"/>
  <c r="E36" i="3"/>
  <c r="F36" i="3"/>
  <c r="G36" i="3"/>
  <c r="H36" i="3"/>
  <c r="I36" i="3"/>
  <c r="D37" i="3"/>
  <c r="E37" i="3"/>
  <c r="F37" i="3"/>
  <c r="G37" i="3"/>
  <c r="H37" i="3"/>
  <c r="I37" i="3"/>
  <c r="D38" i="3"/>
  <c r="E38" i="3"/>
  <c r="F38" i="3"/>
  <c r="G38" i="3"/>
  <c r="H38" i="3"/>
  <c r="I38" i="3"/>
  <c r="D39" i="3"/>
  <c r="E39" i="3"/>
  <c r="F39" i="3"/>
  <c r="G39" i="3"/>
  <c r="H39" i="3"/>
  <c r="I39" i="3"/>
  <c r="D40" i="3"/>
  <c r="E40" i="3"/>
  <c r="F40" i="3"/>
  <c r="G40" i="3"/>
  <c r="H40" i="3"/>
  <c r="I40" i="3"/>
  <c r="D41" i="3"/>
  <c r="E41" i="3"/>
  <c r="F41" i="3"/>
  <c r="G41" i="3"/>
  <c r="H41" i="3"/>
  <c r="I41" i="3"/>
  <c r="D42" i="3"/>
  <c r="E42" i="3"/>
  <c r="F42" i="3"/>
  <c r="G42" i="3"/>
  <c r="H42" i="3"/>
  <c r="I42" i="3"/>
  <c r="D43" i="3"/>
  <c r="E43" i="3"/>
  <c r="F43" i="3"/>
  <c r="G43" i="3"/>
  <c r="H43" i="3"/>
  <c r="I43" i="3"/>
  <c r="D44" i="3"/>
  <c r="E44" i="3"/>
  <c r="F44" i="3"/>
  <c r="G44" i="3"/>
  <c r="H44" i="3"/>
  <c r="I44" i="3"/>
  <c r="D45" i="3"/>
  <c r="E45" i="3"/>
  <c r="F45" i="3"/>
  <c r="G45" i="3"/>
  <c r="H45" i="3"/>
  <c r="I45" i="3"/>
  <c r="D46" i="3"/>
  <c r="E46" i="3"/>
  <c r="F46" i="3"/>
  <c r="G46" i="3"/>
  <c r="H46" i="3"/>
  <c r="I46" i="3"/>
  <c r="D47" i="3"/>
  <c r="E47" i="3"/>
  <c r="F47" i="3"/>
  <c r="G47" i="3"/>
  <c r="H47" i="3"/>
  <c r="I47" i="3"/>
  <c r="D48" i="3"/>
  <c r="E48" i="3"/>
  <c r="F48" i="3"/>
  <c r="G48" i="3"/>
  <c r="H48" i="3"/>
  <c r="I48" i="3"/>
  <c r="D49" i="3"/>
  <c r="E49" i="3"/>
  <c r="F49" i="3"/>
  <c r="G49" i="3"/>
  <c r="H49" i="3"/>
  <c r="I49" i="3"/>
  <c r="D50" i="3"/>
  <c r="E50" i="3"/>
  <c r="F50" i="3"/>
  <c r="G50" i="3"/>
  <c r="H50" i="3"/>
  <c r="I50" i="3"/>
  <c r="D51" i="3"/>
  <c r="E51" i="3"/>
  <c r="F51" i="3"/>
  <c r="G51" i="3"/>
  <c r="H51" i="3"/>
  <c r="I51" i="3"/>
  <c r="D52" i="3"/>
  <c r="E52" i="3"/>
  <c r="F52" i="3"/>
  <c r="G52" i="3"/>
  <c r="H52" i="3"/>
  <c r="I52" i="3"/>
  <c r="D53" i="3"/>
  <c r="E53" i="3"/>
  <c r="F53" i="3"/>
  <c r="G53" i="3"/>
  <c r="H53" i="3"/>
  <c r="I53" i="3"/>
  <c r="D54" i="3"/>
  <c r="E54" i="3"/>
  <c r="F54" i="3"/>
  <c r="G54" i="3"/>
  <c r="H54" i="3"/>
  <c r="I54" i="3"/>
  <c r="D55" i="3"/>
  <c r="E55" i="3"/>
  <c r="F55" i="3"/>
  <c r="G55" i="3"/>
  <c r="H55" i="3"/>
  <c r="I55" i="3"/>
  <c r="D56" i="3"/>
  <c r="E56" i="3"/>
  <c r="F56" i="3"/>
  <c r="G56" i="3"/>
  <c r="H56" i="3"/>
  <c r="I56" i="3"/>
  <c r="D57" i="3"/>
  <c r="E57" i="3"/>
  <c r="F57" i="3"/>
  <c r="G57" i="3"/>
  <c r="H57" i="3"/>
  <c r="I57" i="3"/>
  <c r="D58" i="3"/>
  <c r="E58" i="3"/>
  <c r="F58" i="3"/>
  <c r="G58" i="3"/>
  <c r="H58" i="3"/>
  <c r="I58" i="3"/>
  <c r="D59" i="3"/>
  <c r="E59" i="3"/>
  <c r="F59" i="3"/>
  <c r="G59" i="3"/>
  <c r="H59" i="3"/>
  <c r="I59" i="3"/>
  <c r="D60" i="3"/>
  <c r="E60" i="3"/>
  <c r="F60" i="3"/>
  <c r="G60" i="3"/>
  <c r="H60" i="3"/>
  <c r="I60" i="3"/>
  <c r="D61" i="3"/>
  <c r="E61" i="3"/>
  <c r="F61" i="3"/>
  <c r="G61" i="3"/>
  <c r="H61" i="3"/>
  <c r="I61" i="3"/>
  <c r="D62" i="3"/>
  <c r="E62" i="3"/>
  <c r="F62" i="3"/>
  <c r="G62" i="3"/>
  <c r="H62" i="3"/>
  <c r="I62" i="3"/>
  <c r="D63" i="3"/>
  <c r="E63" i="3"/>
  <c r="F63" i="3"/>
  <c r="G63" i="3"/>
  <c r="H63" i="3"/>
  <c r="I63" i="3"/>
  <c r="D64" i="3"/>
  <c r="E64" i="3"/>
  <c r="F64" i="3"/>
  <c r="G64" i="3"/>
  <c r="H64" i="3"/>
  <c r="I64" i="3"/>
  <c r="D65" i="3"/>
  <c r="E65" i="3"/>
  <c r="F65" i="3"/>
  <c r="G65" i="3"/>
  <c r="H65" i="3"/>
  <c r="I65" i="3"/>
  <c r="D66" i="3"/>
  <c r="E66" i="3"/>
  <c r="F66" i="3"/>
  <c r="G66" i="3"/>
  <c r="H66" i="3"/>
  <c r="I66" i="3"/>
  <c r="D67" i="3"/>
  <c r="E67" i="3"/>
  <c r="F67" i="3"/>
  <c r="G67" i="3"/>
  <c r="H67" i="3"/>
  <c r="I67" i="3"/>
  <c r="D68" i="3"/>
  <c r="E68" i="3"/>
  <c r="F68" i="3"/>
  <c r="G68" i="3"/>
  <c r="H68" i="3"/>
  <c r="I68" i="3"/>
  <c r="D69" i="3"/>
  <c r="E69" i="3"/>
  <c r="F69" i="3"/>
  <c r="G69" i="3"/>
  <c r="H69" i="3"/>
  <c r="I69" i="3"/>
  <c r="D70" i="3"/>
  <c r="E70" i="3"/>
  <c r="F70" i="3"/>
  <c r="G70" i="3"/>
  <c r="H70" i="3"/>
  <c r="I70" i="3"/>
  <c r="D71" i="3"/>
  <c r="E71" i="3"/>
  <c r="F71" i="3"/>
  <c r="G71" i="3"/>
  <c r="H71" i="3"/>
  <c r="I71" i="3"/>
  <c r="D72" i="3"/>
  <c r="E72" i="3"/>
  <c r="F72" i="3"/>
  <c r="G72" i="3"/>
  <c r="H72" i="3"/>
  <c r="I72" i="3"/>
  <c r="D73" i="3"/>
  <c r="E73" i="3"/>
  <c r="F73" i="3"/>
  <c r="G73" i="3"/>
  <c r="H73" i="3"/>
  <c r="I73" i="3"/>
  <c r="D74" i="3"/>
  <c r="E74" i="3"/>
  <c r="F74" i="3"/>
  <c r="G74" i="3"/>
  <c r="H74" i="3"/>
  <c r="I74" i="3"/>
  <c r="D75" i="3"/>
  <c r="E75" i="3"/>
  <c r="F75" i="3"/>
  <c r="G75" i="3"/>
  <c r="H75" i="3"/>
  <c r="I75" i="3"/>
  <c r="D76" i="3"/>
  <c r="E76" i="3"/>
  <c r="F76" i="3"/>
  <c r="G76" i="3"/>
  <c r="H76" i="3"/>
  <c r="I76" i="3"/>
  <c r="D77" i="3"/>
  <c r="E77" i="3"/>
  <c r="F77" i="3"/>
  <c r="G77" i="3"/>
  <c r="H77" i="3"/>
  <c r="I77" i="3"/>
  <c r="D78" i="3"/>
  <c r="E78" i="3"/>
  <c r="F78" i="3"/>
  <c r="G78" i="3"/>
  <c r="H78" i="3"/>
  <c r="I78" i="3"/>
  <c r="D79" i="3"/>
  <c r="E79" i="3"/>
  <c r="F79" i="3"/>
  <c r="G79" i="3"/>
  <c r="H79" i="3"/>
  <c r="I79" i="3"/>
  <c r="D80" i="3"/>
  <c r="E80" i="3"/>
  <c r="F80" i="3"/>
  <c r="G80" i="3"/>
  <c r="H80" i="3"/>
  <c r="I80" i="3"/>
  <c r="D81" i="3"/>
  <c r="E81" i="3"/>
  <c r="F81" i="3"/>
  <c r="G81" i="3"/>
  <c r="H81" i="3"/>
  <c r="I81" i="3"/>
  <c r="D82" i="3"/>
  <c r="E82" i="3"/>
  <c r="F82" i="3"/>
  <c r="G82" i="3"/>
  <c r="H82" i="3"/>
  <c r="I82" i="3"/>
  <c r="D83" i="3"/>
  <c r="E83" i="3"/>
  <c r="F83" i="3"/>
  <c r="G83" i="3"/>
  <c r="H83" i="3"/>
  <c r="I83" i="3"/>
  <c r="D84" i="3"/>
  <c r="E84" i="3"/>
  <c r="F84" i="3"/>
  <c r="G84" i="3"/>
  <c r="H84" i="3"/>
  <c r="I84" i="3"/>
  <c r="D85" i="3"/>
  <c r="E85" i="3"/>
  <c r="F85" i="3"/>
  <c r="G85" i="3"/>
  <c r="H85" i="3"/>
  <c r="I85" i="3"/>
  <c r="D86" i="3"/>
  <c r="E86" i="3"/>
  <c r="F86" i="3"/>
  <c r="G86" i="3"/>
  <c r="H86" i="3"/>
  <c r="I86" i="3"/>
  <c r="D87" i="3"/>
  <c r="E87" i="3"/>
  <c r="F87" i="3"/>
  <c r="G87" i="3"/>
  <c r="H87" i="3"/>
  <c r="I87" i="3"/>
  <c r="D88" i="3"/>
  <c r="E88" i="3"/>
  <c r="F88" i="3"/>
  <c r="G88" i="3"/>
  <c r="H88" i="3"/>
  <c r="I88" i="3"/>
  <c r="D89" i="3"/>
  <c r="E89" i="3"/>
  <c r="F89" i="3"/>
  <c r="G89" i="3"/>
  <c r="H89" i="3"/>
  <c r="I89" i="3"/>
  <c r="D90" i="3"/>
  <c r="E90" i="3"/>
  <c r="F90" i="3"/>
  <c r="G90" i="3"/>
  <c r="H90" i="3"/>
  <c r="I90" i="3"/>
  <c r="D91" i="3"/>
  <c r="E91" i="3"/>
  <c r="F91" i="3"/>
  <c r="G91" i="3"/>
  <c r="H91" i="3"/>
  <c r="I91" i="3"/>
  <c r="D92" i="3"/>
  <c r="E92" i="3"/>
  <c r="F92" i="3"/>
  <c r="G92" i="3"/>
  <c r="H92" i="3"/>
  <c r="I92" i="3"/>
  <c r="D93" i="3"/>
  <c r="E93" i="3"/>
  <c r="F93" i="3"/>
  <c r="G93" i="3"/>
  <c r="H93" i="3"/>
  <c r="I93" i="3"/>
  <c r="D94" i="3"/>
  <c r="E94" i="3"/>
  <c r="F94" i="3"/>
  <c r="G94" i="3"/>
  <c r="H94" i="3"/>
  <c r="I94" i="3"/>
  <c r="D95" i="3"/>
  <c r="E95" i="3"/>
  <c r="F95" i="3"/>
  <c r="G95" i="3"/>
  <c r="H95" i="3"/>
  <c r="I95" i="3"/>
  <c r="D96" i="3"/>
  <c r="E96" i="3"/>
  <c r="F96" i="3"/>
  <c r="G96" i="3"/>
  <c r="H96" i="3"/>
  <c r="I96" i="3"/>
  <c r="D97" i="3"/>
  <c r="E97" i="3"/>
  <c r="F97" i="3"/>
  <c r="G97" i="3"/>
  <c r="H97" i="3"/>
  <c r="I97" i="3"/>
  <c r="D98" i="3"/>
  <c r="E98" i="3"/>
  <c r="F98" i="3"/>
  <c r="G98" i="3"/>
  <c r="H98" i="3"/>
  <c r="I98" i="3"/>
  <c r="D99" i="3"/>
  <c r="E99" i="3"/>
  <c r="F99" i="3"/>
  <c r="G99" i="3"/>
  <c r="H99" i="3"/>
  <c r="I99" i="3"/>
  <c r="D100" i="3"/>
  <c r="E100" i="3"/>
  <c r="F100" i="3"/>
  <c r="G100" i="3"/>
  <c r="H100" i="3"/>
  <c r="I100" i="3"/>
  <c r="D101" i="3"/>
  <c r="E101" i="3"/>
  <c r="F101" i="3"/>
  <c r="G101" i="3"/>
  <c r="H101" i="3"/>
  <c r="I101" i="3"/>
  <c r="D102" i="3"/>
  <c r="E102" i="3"/>
  <c r="F102" i="3"/>
  <c r="G102" i="3"/>
  <c r="H102" i="3"/>
  <c r="I102" i="3"/>
  <c r="H4" i="3"/>
  <c r="I4" i="3"/>
  <c r="G4" i="3"/>
  <c r="F4" i="3"/>
  <c r="E4" i="3"/>
  <c r="D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4" i="3"/>
  <c r="K15" i="2"/>
  <c r="K14" i="2"/>
  <c r="K13" i="2"/>
  <c r="K10" i="2"/>
  <c r="K9" i="2"/>
  <c r="G6" i="2"/>
  <c r="K6" i="2"/>
  <c r="K5" i="2"/>
  <c r="K4" i="2"/>
  <c r="G15" i="2"/>
  <c r="G10" i="2"/>
  <c r="G9" i="2"/>
  <c r="G5" i="2"/>
  <c r="G4" i="2"/>
  <c r="C21" i="2"/>
  <c r="C20" i="2"/>
  <c r="F19" i="2"/>
  <c r="F18" i="2"/>
  <c r="F17" i="2"/>
  <c r="J17" i="2"/>
  <c r="J18" i="2"/>
  <c r="J19" i="2"/>
  <c r="K19" i="2" l="1"/>
  <c r="G19" i="2"/>
  <c r="G17" i="2"/>
  <c r="K24" i="2"/>
  <c r="G18" i="2"/>
  <c r="K17" i="2"/>
  <c r="K18" i="2"/>
  <c r="G24" i="2"/>
  <c r="K23" i="2"/>
  <c r="G22" i="2"/>
  <c r="G23" i="2"/>
  <c r="K22" i="2"/>
</calcChain>
</file>

<file path=xl/sharedStrings.xml><?xml version="1.0" encoding="utf-8"?>
<sst xmlns="http://schemas.openxmlformats.org/spreadsheetml/2006/main" count="136" uniqueCount="97">
  <si>
    <t>R1_Heading</t>
  </si>
  <si>
    <t>R1_Rover_date</t>
  </si>
  <si>
    <t>R1_Rover_time</t>
  </si>
  <si>
    <t>R1_Rover_lon</t>
  </si>
  <si>
    <t>R1_Rover_lat</t>
  </si>
  <si>
    <t>Rover_1_accHeading</t>
  </si>
  <si>
    <t>Rover_1_N</t>
  </si>
  <si>
    <t>Rover_1_E</t>
  </si>
  <si>
    <t>Rover_1_D</t>
  </si>
  <si>
    <t>Rover_1_Quality</t>
  </si>
  <si>
    <t>R2_Heading</t>
  </si>
  <si>
    <t>R2_Rover_date</t>
  </si>
  <si>
    <t>R2_Rover_time</t>
  </si>
  <si>
    <t>R2_Rover_lon</t>
  </si>
  <si>
    <t>R2_Rover_lat</t>
  </si>
  <si>
    <t>Rover_2_accHeading</t>
  </si>
  <si>
    <t>Rover_2_N</t>
  </si>
  <si>
    <t>Rover_2_E</t>
  </si>
  <si>
    <t>Rover_2_D</t>
  </si>
  <si>
    <t>Rover_2_Quality</t>
  </si>
  <si>
    <t>Rover 1:</t>
  </si>
  <si>
    <t>Median</t>
  </si>
  <si>
    <t>Rover 2:</t>
  </si>
  <si>
    <t>Datum:</t>
  </si>
  <si>
    <t>Messdauer:</t>
  </si>
  <si>
    <t>RTK Qualität:</t>
  </si>
  <si>
    <t>Median:</t>
  </si>
  <si>
    <t>Maschinenbezeichnung:</t>
  </si>
  <si>
    <t>Gestängebreite:</t>
  </si>
  <si>
    <t>Anhängetyp:</t>
  </si>
  <si>
    <t>m</t>
  </si>
  <si>
    <t>Nennvolumen:</t>
  </si>
  <si>
    <t>l</t>
  </si>
  <si>
    <t>Hersteller:</t>
  </si>
  <si>
    <t>Maximale Positive Auslenkung:</t>
  </si>
  <si>
    <t>Maximale Höhe:</t>
  </si>
  <si>
    <t>Minimale Höhe:</t>
  </si>
  <si>
    <t>Minimale Negative Auslenkung</t>
  </si>
  <si>
    <t>Maximalwert Genauigkeit:</t>
  </si>
  <si>
    <t>Genauigkeit Heading:</t>
  </si>
  <si>
    <t>s</t>
  </si>
  <si>
    <t>cm</t>
  </si>
  <si>
    <t>deg</t>
  </si>
  <si>
    <t>2D GNSS fix</t>
  </si>
  <si>
    <t>3D GNSS fix</t>
  </si>
  <si>
    <t>1/2</t>
  </si>
  <si>
    <t>RTK fixed</t>
  </si>
  <si>
    <t>RTK float</t>
  </si>
  <si>
    <t>Dead reckoning fix</t>
  </si>
  <si>
    <t>Rover_1_Ang_velo</t>
  </si>
  <si>
    <t>Rover_2_Ang_velo</t>
  </si>
  <si>
    <t>Angaben [deg] in 1e-5</t>
  </si>
  <si>
    <t>Offset Rover von Gestänge Außenkante:</t>
  </si>
  <si>
    <t>Horizontale Bewegung:</t>
  </si>
  <si>
    <t>Vertikale Bewegung:</t>
  </si>
  <si>
    <t>R1_absolute_Heading</t>
  </si>
  <si>
    <t>R1_delta_Heading</t>
  </si>
  <si>
    <t>Rover_1_alt</t>
  </si>
  <si>
    <t>Rover_1_height_varriation</t>
  </si>
  <si>
    <t>Rover_1_Speed</t>
  </si>
  <si>
    <t>R2_delta_Heading</t>
  </si>
  <si>
    <t>Rover_2_alt</t>
  </si>
  <si>
    <t>Rover_2_height_varriation</t>
  </si>
  <si>
    <t>Rover_2_Speed</t>
  </si>
  <si>
    <t>Base_lon</t>
  </si>
  <si>
    <t>Base_lat</t>
  </si>
  <si>
    <t>Base_NumSV</t>
  </si>
  <si>
    <t>Base_HDOP</t>
  </si>
  <si>
    <t>Base_alt</t>
  </si>
  <si>
    <t>Base_Time</t>
  </si>
  <si>
    <t>Base_Speed</t>
  </si>
  <si>
    <t>Rover_time</t>
  </si>
  <si>
    <t>Kalkulationen</t>
  </si>
  <si>
    <t>Vertikale Bewegung</t>
  </si>
  <si>
    <t>R1_VA</t>
  </si>
  <si>
    <t>R2_VA</t>
  </si>
  <si>
    <t>Base:</t>
  </si>
  <si>
    <t>Maximale Geschwindigeit:</t>
  </si>
  <si>
    <t>km/h</t>
  </si>
  <si>
    <t>Minimale Satelliten Sichtbar:</t>
  </si>
  <si>
    <t>maximaler HDOP wert:</t>
  </si>
  <si>
    <t>R2_absolute_Heading</t>
  </si>
  <si>
    <t>Messdetails:</t>
  </si>
  <si>
    <t>R1_HA_delta</t>
  </si>
  <si>
    <t>R2_HA_delta</t>
  </si>
  <si>
    <t>R1_HA_abs</t>
  </si>
  <si>
    <t>R2_HA_abs</t>
  </si>
  <si>
    <t>R1_mov_avg_Heading</t>
  </si>
  <si>
    <t>R2_mov_avg_Heading</t>
  </si>
  <si>
    <t>Base_Heading</t>
  </si>
  <si>
    <t>R1_HA_mov_avg</t>
  </si>
  <si>
    <t>R2_HA_mov_avg</t>
  </si>
  <si>
    <t>Horizontale Auslenkung in cm</t>
  </si>
  <si>
    <t>Auswertungsprotokoll Schwingungsmesssystem (F.Weigand)</t>
  </si>
  <si>
    <t>angebaut</t>
  </si>
  <si>
    <t xml:space="preserve">AMAZONE </t>
  </si>
  <si>
    <t>UF 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</si>
</sst>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right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11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indent="1"/>
    </xf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Horizontale Auslenkung Gestänge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Kalkulationen!$H$3</c:f>
              <c:strCache>
                <c:ptCount val="1"/>
                <c:pt idx="0">
                  <c:v>R1_HA_mov_avg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[0]!Time</c:f>
              <c:strCache>
                <c:ptCount val="2"/>
                <c:pt idx="0">
                  <c:v>Rover_time</c:v>
                </c:pt>
                <c:pt idx="1">
                  <c:v>0</c:v>
                </c:pt>
              </c:strCache>
            </c:strRef>
          </c:cat>
          <c:val>
            <c:numRef>
              <c:f>[0]!HorizontalMovAvg1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8-4199-8356-72D007D13B15}"/>
            </c:ext>
          </c:extLst>
        </c:ser>
        <c:ser>
          <c:idx val="1"/>
          <c:order val="1"/>
          <c:tx>
            <c:strRef>
              <c:f>Kalkulationen!$I$3</c:f>
              <c:strCache>
                <c:ptCount val="1"/>
                <c:pt idx="0">
                  <c:v>R2_HA_mov_avg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[0]!Time</c:f>
              <c:strCache>
                <c:ptCount val="2"/>
                <c:pt idx="0">
                  <c:v>Rover_time</c:v>
                </c:pt>
                <c:pt idx="1">
                  <c:v>0</c:v>
                </c:pt>
              </c:strCache>
            </c:strRef>
          </c:cat>
          <c:val>
            <c:numRef>
              <c:f>[0]!HorizontalMovAvg2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58-4199-8356-72D007D13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515647"/>
        <c:axId val="757527647"/>
      </c:lineChart>
      <c:catAx>
        <c:axId val="75751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27647"/>
        <c:crosses val="autoZero"/>
        <c:auto val="1"/>
        <c:lblAlgn val="ctr"/>
        <c:lblOffset val="100"/>
        <c:noMultiLvlLbl val="0"/>
      </c:catAx>
      <c:valAx>
        <c:axId val="7575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Auslenkung</a:t>
                </a:r>
                <a:r>
                  <a:rPr lang="de-DE" baseline="0"/>
                  <a:t> [cm]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Vertikale Bewegung Gestänge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Kalkulationen!$K$3</c:f>
              <c:strCache>
                <c:ptCount val="1"/>
                <c:pt idx="0">
                  <c:v>R1_VA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[0]!Time</c:f>
              <c:strCache>
                <c:ptCount val="2"/>
                <c:pt idx="0">
                  <c:v>Rover_time</c:v>
                </c:pt>
                <c:pt idx="1">
                  <c:v>0</c:v>
                </c:pt>
              </c:strCache>
            </c:strRef>
          </c:cat>
          <c:val>
            <c:numRef>
              <c:f>[0]!VertikaleAuslenkung1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06-451A-B3F7-D6B3076635B4}"/>
            </c:ext>
          </c:extLst>
        </c:ser>
        <c:ser>
          <c:idx val="1"/>
          <c:order val="1"/>
          <c:tx>
            <c:strRef>
              <c:f>Kalkulationen!$L$3</c:f>
              <c:strCache>
                <c:ptCount val="1"/>
                <c:pt idx="0">
                  <c:v>R2_VA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[0]!Time</c:f>
              <c:strCache>
                <c:ptCount val="2"/>
                <c:pt idx="0">
                  <c:v>Rover_time</c:v>
                </c:pt>
                <c:pt idx="1">
                  <c:v>0</c:v>
                </c:pt>
              </c:strCache>
            </c:strRef>
          </c:cat>
          <c:val>
            <c:numRef>
              <c:f>[0]!VertikaleAuslenkung2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06-451A-B3F7-D6B307663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515647"/>
        <c:axId val="757527647"/>
      </c:lineChart>
      <c:catAx>
        <c:axId val="75751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27647"/>
        <c:crosses val="autoZero"/>
        <c:auto val="1"/>
        <c:lblAlgn val="ctr"/>
        <c:lblOffset val="100"/>
        <c:noMultiLvlLbl val="0"/>
      </c:catAx>
      <c:valAx>
        <c:axId val="7575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Auslenkung</a:t>
                </a:r>
                <a:r>
                  <a:rPr lang="de-DE" baseline="0"/>
                  <a:t> [cm]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5</xdr:col>
      <xdr:colOff>478234</xdr:colOff>
      <xdr:row>47</xdr:row>
      <xdr:rowOff>189600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35B7BC5-5C20-4C1F-91E7-89D6C0595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839258</xdr:colOff>
      <xdr:row>27</xdr:row>
      <xdr:rowOff>0</xdr:rowOff>
    </xdr:from>
    <xdr:to>
      <xdr:col>13</xdr:col>
      <xdr:colOff>0</xdr:colOff>
      <xdr:row>47</xdr:row>
      <xdr:rowOff>189600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6590A886-BCC5-46D9-B3F2-4445CC5CE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C321-631B-4E28-8189-C95E601720DD}">
  <sheetPr codeName="Tabelle1"/>
  <dimension ref="B1:L24"/>
  <sheetViews>
    <sheetView tabSelected="1" zoomScale="85" zoomScaleNormal="85" workbookViewId="0">
      <selection activeCell="O10" sqref="O10"/>
    </sheetView>
  </sheetViews>
  <sheetFormatPr baseColWidth="10" defaultColWidth="11.33203125" defaultRowHeight="14.4" x14ac:dyDescent="0.3"/>
  <cols>
    <col min="1" max="1" width="4.44140625" customWidth="1"/>
    <col min="2" max="2" width="51.33203125" customWidth="1"/>
    <col min="3" max="3" width="27.109375" bestFit="1" customWidth="1"/>
    <col min="4" max="4" width="5.33203125" bestFit="1" customWidth="1"/>
    <col min="5" max="5" width="10.33203125" customWidth="1"/>
    <col min="6" max="6" width="27.44140625" bestFit="1" customWidth="1"/>
    <col min="7" max="7" width="10.88671875" bestFit="1" customWidth="1"/>
    <col min="8" max="8" width="4.109375" bestFit="1" customWidth="1"/>
    <col min="9" max="9" width="15.33203125" customWidth="1"/>
    <col min="10" max="10" width="27.44140625" bestFit="1" customWidth="1"/>
    <col min="11" max="11" width="10.88671875" bestFit="1" customWidth="1"/>
    <col min="12" max="12" width="4.109375" customWidth="1"/>
    <col min="13" max="13" width="14.109375" customWidth="1"/>
    <col min="14" max="14" width="5.44140625" customWidth="1"/>
    <col min="15" max="15" width="27" customWidth="1"/>
  </cols>
  <sheetData>
    <row r="1" spans="2:12" ht="33.6" x14ac:dyDescent="0.65">
      <c r="B1" s="14" t="s">
        <v>93</v>
      </c>
    </row>
    <row r="3" spans="2:12" ht="21" x14ac:dyDescent="0.4">
      <c r="B3" s="12" t="s">
        <v>33</v>
      </c>
      <c r="C3" s="13" t="s">
        <v>95</v>
      </c>
      <c r="D3" s="8"/>
      <c r="F3" s="15" t="s">
        <v>20</v>
      </c>
      <c r="G3" s="9"/>
      <c r="H3" s="9"/>
      <c r="I3" s="9"/>
      <c r="J3" s="15" t="s">
        <v>22</v>
      </c>
    </row>
    <row r="4" spans="2:12" ht="21" x14ac:dyDescent="0.4">
      <c r="B4" s="12" t="s">
        <v>27</v>
      </c>
      <c r="C4" s="13" t="s">
        <v>96</v>
      </c>
      <c r="D4" s="8"/>
      <c r="F4" s="4" t="s">
        <v>25</v>
      </c>
      <c r="G4">
        <f>MAX(CSV_Import!H2:H1048576)</f>
        <v>0</v>
      </c>
      <c r="J4" s="4" t="s">
        <v>25</v>
      </c>
      <c r="K4">
        <f>MAX(CSV_Import!Y2:Y1048576)</f>
        <v>0</v>
      </c>
    </row>
    <row r="5" spans="2:12" ht="21" x14ac:dyDescent="0.4">
      <c r="B5" s="12" t="s">
        <v>29</v>
      </c>
      <c r="C5" s="13" t="s">
        <v>94</v>
      </c>
      <c r="D5" s="8"/>
      <c r="F5" s="4" t="s">
        <v>23</v>
      </c>
      <c r="G5" s="6">
        <f>CSV_Import!F2</f>
        <v>0</v>
      </c>
      <c r="J5" s="4" t="s">
        <v>23</v>
      </c>
      <c r="K5" s="6">
        <f>CSV_Import!W2</f>
        <v>0</v>
      </c>
    </row>
    <row r="6" spans="2:12" ht="21" x14ac:dyDescent="0.4">
      <c r="B6" s="12" t="s">
        <v>31</v>
      </c>
      <c r="C6" s="13">
        <v>2000</v>
      </c>
      <c r="D6" s="8" t="s">
        <v>32</v>
      </c>
      <c r="F6" s="4" t="s">
        <v>24</v>
      </c>
      <c r="G6" s="5">
        <f>(MAX(CSV_Import!G2:G1048576)-MIN(CSV_Import!G2:G1048576))/1000</f>
        <v>0</v>
      </c>
      <c r="H6" t="s">
        <v>40</v>
      </c>
      <c r="J6" s="4" t="s">
        <v>24</v>
      </c>
      <c r="K6" s="5">
        <f>(MAX(CSV_Import!X2:X1048576)-MIN(CSV_Import!X2:X1048576))/1000</f>
        <v>0</v>
      </c>
      <c r="L6" t="s">
        <v>40</v>
      </c>
    </row>
    <row r="7" spans="2:12" ht="21" x14ac:dyDescent="0.4">
      <c r="B7" s="12" t="s">
        <v>28</v>
      </c>
      <c r="C7" s="13">
        <v>21</v>
      </c>
      <c r="D7" s="8" t="s">
        <v>30</v>
      </c>
      <c r="F7" s="4"/>
      <c r="G7" s="5"/>
    </row>
    <row r="8" spans="2:12" ht="21" x14ac:dyDescent="0.4">
      <c r="B8" s="12" t="s">
        <v>52</v>
      </c>
      <c r="C8" s="13">
        <v>6</v>
      </c>
      <c r="D8" s="8" t="s">
        <v>41</v>
      </c>
      <c r="F8" s="2" t="s">
        <v>39</v>
      </c>
      <c r="J8" s="2" t="s">
        <v>39</v>
      </c>
    </row>
    <row r="9" spans="2:12" ht="21" x14ac:dyDescent="0.4">
      <c r="B9" s="12" t="s">
        <v>82</v>
      </c>
      <c r="C9" s="16"/>
      <c r="F9" s="4" t="s">
        <v>38</v>
      </c>
      <c r="G9">
        <f>ROUND(MAX(CSV_Import!K2:K1048576),4)</f>
        <v>0</v>
      </c>
      <c r="H9" t="s">
        <v>42</v>
      </c>
      <c r="J9" s="4" t="s">
        <v>38</v>
      </c>
      <c r="K9">
        <f>ROUND(MAX(CSV_Import!AB2:AB1048576),4)</f>
        <v>0</v>
      </c>
      <c r="L9" t="s">
        <v>42</v>
      </c>
    </row>
    <row r="10" spans="2:12" ht="14.25" customHeight="1" x14ac:dyDescent="0.3">
      <c r="F10" s="4" t="s">
        <v>26</v>
      </c>
      <c r="G10" t="e">
        <f>ROUND(MEDIAN(CSV_Import!K2:K1048576),4)</f>
        <v>#NUM!</v>
      </c>
      <c r="H10" t="s">
        <v>42</v>
      </c>
      <c r="J10" s="4" t="s">
        <v>26</v>
      </c>
      <c r="K10" t="e">
        <f>ROUND(MEDIAN(CSV_Import!AB2:AB1048576),4)</f>
        <v>#NUM!</v>
      </c>
      <c r="L10" t="s">
        <v>42</v>
      </c>
    </row>
    <row r="11" spans="2:12" ht="15.6" x14ac:dyDescent="0.3">
      <c r="B11" s="10" t="s">
        <v>25</v>
      </c>
      <c r="F11" s="4"/>
    </row>
    <row r="12" spans="2:12" x14ac:dyDescent="0.3">
      <c r="B12" s="4" t="s">
        <v>43</v>
      </c>
      <c r="C12" s="11" t="s">
        <v>45</v>
      </c>
      <c r="F12" s="3" t="s">
        <v>53</v>
      </c>
      <c r="J12" s="3" t="s">
        <v>53</v>
      </c>
    </row>
    <row r="13" spans="2:12" x14ac:dyDescent="0.3">
      <c r="B13" s="4" t="s">
        <v>44</v>
      </c>
      <c r="C13" s="11" t="s">
        <v>45</v>
      </c>
      <c r="F13" s="4" t="s">
        <v>34</v>
      </c>
      <c r="G13">
        <f>ROUND(MAX(CSV_Import!E2:E1048576),4)</f>
        <v>0</v>
      </c>
      <c r="H13" t="s">
        <v>42</v>
      </c>
      <c r="J13" s="4" t="s">
        <v>34</v>
      </c>
      <c r="K13">
        <f>ROUND(MAX(CSV_Import!V2:V1048576),4)</f>
        <v>0</v>
      </c>
      <c r="L13" t="s">
        <v>42</v>
      </c>
    </row>
    <row r="14" spans="2:12" x14ac:dyDescent="0.3">
      <c r="B14" s="4" t="s">
        <v>46</v>
      </c>
      <c r="C14" s="11">
        <v>4</v>
      </c>
      <c r="F14" s="4" t="s">
        <v>37</v>
      </c>
      <c r="G14">
        <f>ROUND(MIN(CSV_Import!E2:E1048576),4)</f>
        <v>0</v>
      </c>
      <c r="H14" t="s">
        <v>42</v>
      </c>
      <c r="J14" s="4" t="s">
        <v>37</v>
      </c>
      <c r="K14">
        <f>ROUND(MIN(CSV_Import!V2:V1048576),4)</f>
        <v>0</v>
      </c>
      <c r="L14" t="s">
        <v>42</v>
      </c>
    </row>
    <row r="15" spans="2:12" x14ac:dyDescent="0.3">
      <c r="B15" s="4" t="s">
        <v>47</v>
      </c>
      <c r="C15" s="11">
        <v>5</v>
      </c>
      <c r="F15" s="4" t="s">
        <v>26</v>
      </c>
      <c r="G15" t="e">
        <f>ROUND(MEDIAN(CSV_Import!E2:E1048576),4)</f>
        <v>#NUM!</v>
      </c>
      <c r="H15" t="s">
        <v>42</v>
      </c>
      <c r="J15" s="4" t="s">
        <v>26</v>
      </c>
      <c r="K15" t="e">
        <f>ROUND(MEDIAN(CSV_Import!V2:V1048576),4)</f>
        <v>#NUM!</v>
      </c>
      <c r="L15" t="s">
        <v>42</v>
      </c>
    </row>
    <row r="16" spans="2:12" x14ac:dyDescent="0.3">
      <c r="B16" s="4" t="s">
        <v>48</v>
      </c>
      <c r="C16" s="11">
        <v>6</v>
      </c>
    </row>
    <row r="17" spans="2:12" x14ac:dyDescent="0.3">
      <c r="F17" s="4" t="str">
        <f>F13</f>
        <v>Maximale Positive Auslenkung:</v>
      </c>
      <c r="G17">
        <f>MAX(Kalkulationen!H4:H1048576)</f>
        <v>0</v>
      </c>
      <c r="H17" t="s">
        <v>41</v>
      </c>
      <c r="J17" s="4" t="str">
        <f>J13</f>
        <v>Maximale Positive Auslenkung:</v>
      </c>
      <c r="K17">
        <f>MAX(Kalkulationen!I4:I1048576)</f>
        <v>0</v>
      </c>
      <c r="L17" t="s">
        <v>41</v>
      </c>
    </row>
    <row r="18" spans="2:12" ht="15.6" x14ac:dyDescent="0.3">
      <c r="B18" s="15" t="s">
        <v>76</v>
      </c>
      <c r="F18" s="4" t="str">
        <f>F14</f>
        <v>Minimale Negative Auslenkung</v>
      </c>
      <c r="G18">
        <f>MIN(Kalkulationen!H4:H1048576)</f>
        <v>0</v>
      </c>
      <c r="H18" t="s">
        <v>41</v>
      </c>
      <c r="J18" s="4" t="str">
        <f>J14</f>
        <v>Minimale Negative Auslenkung</v>
      </c>
      <c r="K18">
        <f>MIN(Kalkulationen!I4:I1048576)</f>
        <v>0</v>
      </c>
      <c r="L18" t="s">
        <v>41</v>
      </c>
    </row>
    <row r="19" spans="2:12" x14ac:dyDescent="0.3">
      <c r="B19" s="17" t="s">
        <v>77</v>
      </c>
      <c r="C19" s="2">
        <f>ROUND(MAX(CSV_Import!AO:AO),2)</f>
        <v>0</v>
      </c>
      <c r="D19" s="2" t="s">
        <v>78</v>
      </c>
      <c r="F19" s="4" t="str">
        <f>F15</f>
        <v>Median:</v>
      </c>
      <c r="G19">
        <f>MEDIAN(Kalkulationen!H4:H1048576)</f>
        <v>0</v>
      </c>
      <c r="H19" t="s">
        <v>41</v>
      </c>
      <c r="J19" s="4" t="str">
        <f>J15</f>
        <v>Median:</v>
      </c>
      <c r="K19">
        <f>MEDIAN(Kalkulationen!I4:I1048576)</f>
        <v>0</v>
      </c>
      <c r="L19" t="s">
        <v>41</v>
      </c>
    </row>
    <row r="20" spans="2:12" x14ac:dyDescent="0.3">
      <c r="B20" s="4" t="s">
        <v>79</v>
      </c>
      <c r="C20">
        <f>MIN(CSV_Import!AK:AK)</f>
        <v>0</v>
      </c>
    </row>
    <row r="21" spans="2:12" x14ac:dyDescent="0.3">
      <c r="B21" s="4" t="s">
        <v>80</v>
      </c>
      <c r="C21">
        <f>MAX(CSV_Import!AL:AL)</f>
        <v>0</v>
      </c>
      <c r="F21" s="2" t="s">
        <v>54</v>
      </c>
      <c r="J21" s="2" t="s">
        <v>54</v>
      </c>
    </row>
    <row r="22" spans="2:12" x14ac:dyDescent="0.3">
      <c r="F22" s="4" t="s">
        <v>35</v>
      </c>
      <c r="G22">
        <f>ROUND(MAX(Kalkulationen!K4:K1048576),4)</f>
        <v>0</v>
      </c>
      <c r="H22" t="s">
        <v>41</v>
      </c>
      <c r="J22" s="4" t="s">
        <v>35</v>
      </c>
      <c r="K22">
        <f>ROUND(MAX(Kalkulationen!L4:L1048576),4)</f>
        <v>0</v>
      </c>
      <c r="L22" t="s">
        <v>41</v>
      </c>
    </row>
    <row r="23" spans="2:12" x14ac:dyDescent="0.3">
      <c r="F23" s="4" t="s">
        <v>36</v>
      </c>
      <c r="G23">
        <f>ROUND(MIN(Kalkulationen!K4:K1048576),4)</f>
        <v>0</v>
      </c>
      <c r="H23" t="s">
        <v>41</v>
      </c>
      <c r="J23" s="4" t="s">
        <v>36</v>
      </c>
      <c r="K23">
        <f>ROUND(MIN(Kalkulationen!L4:L1048576),4)</f>
        <v>0</v>
      </c>
      <c r="L23" t="s">
        <v>41</v>
      </c>
    </row>
    <row r="24" spans="2:12" x14ac:dyDescent="0.3">
      <c r="B24" s="7" t="s">
        <v>51</v>
      </c>
      <c r="F24" s="4" t="s">
        <v>21</v>
      </c>
      <c r="G24">
        <f>ROUND(MEDIAN(Kalkulationen!K4:K1048576),4)</f>
        <v>0</v>
      </c>
      <c r="H24" t="s">
        <v>41</v>
      </c>
      <c r="J24" s="4" t="s">
        <v>21</v>
      </c>
      <c r="K24">
        <f>ROUND(MEDIAN(Kalkulationen!L4:L1048576),4)</f>
        <v>0</v>
      </c>
      <c r="L24" t="s">
        <v>41</v>
      </c>
    </row>
  </sheetData>
  <phoneticPr fontId="3" type="noConversion"/>
  <dataValidations disablePrompts="1" count="3">
    <dataValidation type="list" allowBlank="1" showInputMessage="1" showErrorMessage="1" sqref="C5" xr:uid="{BFF0E41D-B3E1-4218-97FC-72A791C6B1A1}">
      <formula1>"angebaut,angebaut+Fronttank,gezogen,Selbstfahrer"</formula1>
    </dataValidation>
    <dataValidation type="list" allowBlank="1" showInputMessage="1" showErrorMessage="1" sqref="C6" xr:uid="{8878F6C4-4013-47A6-BAD7-333C874A3134}">
      <formula1>"600,800,1000,1200,1500,2000,2500,3000,3500,4000,4500,5000,5500,6000,6500,7000,8000,9000,10000,11000,12000"</formula1>
    </dataValidation>
    <dataValidation type="list" allowBlank="1" showInputMessage="1" showErrorMessage="1" sqref="C7" xr:uid="{37083156-AC58-4658-A474-78F0106457C5}">
      <mc:AlternateContent xmlns:x12ac="http://schemas.microsoft.com/office/spreadsheetml/2011/1/ac" xmlns:mc="http://schemas.openxmlformats.org/markup-compatibility/2006">
        <mc:Choice Requires="x12ac">
          <x12ac:list>12,15,18,20,21,24,26,27,"27,5",28,30,32,34,36,38,40,42,44,46,48,50,52,54</x12ac:list>
        </mc:Choice>
        <mc:Fallback>
          <formula1>"12,15,18,20,21,24,26,27,27,5,28,30,32,34,36,38,40,42,44,46,48,50,52,54"</formula1>
        </mc:Fallback>
      </mc:AlternateContent>
    </dataValidation>
  </dataValidations>
  <pageMargins left="0.19685039370078741" right="0.19685039370078741" top="0.39370078740157483" bottom="0.39370078740157483" header="0" footer="0"/>
  <pageSetup paperSize="9" scale="6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042-0457-4D1F-9C85-498D8D275B75}">
  <sheetPr codeName="Tabelle2"/>
  <dimension ref="A1:AP354"/>
  <sheetViews>
    <sheetView zoomScale="85" zoomScaleNormal="85" workbookViewId="0">
      <pane ySplit="1" topLeftCell="A2" activePane="bottomLeft" state="frozen"/>
      <selection activeCell="B1" sqref="B1"/>
      <selection pane="bottomLeft" activeCell="E9" sqref="E9"/>
    </sheetView>
  </sheetViews>
  <sheetFormatPr baseColWidth="10" defaultRowHeight="14.4" x14ac:dyDescent="0.3"/>
  <sheetData>
    <row r="1" spans="1:42" x14ac:dyDescent="0.3">
      <c r="A1" t="s">
        <v>0</v>
      </c>
      <c r="B1" t="s">
        <v>55</v>
      </c>
      <c r="C1" t="s">
        <v>49</v>
      </c>
      <c r="D1" t="s">
        <v>56</v>
      </c>
      <c r="E1" t="s">
        <v>87</v>
      </c>
      <c r="F1" t="s">
        <v>1</v>
      </c>
      <c r="G1" t="s">
        <v>2</v>
      </c>
      <c r="H1" t="s">
        <v>9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57</v>
      </c>
      <c r="P1" t="s">
        <v>58</v>
      </c>
      <c r="Q1" t="s">
        <v>59</v>
      </c>
      <c r="R1" t="s">
        <v>10</v>
      </c>
      <c r="S1" t="s">
        <v>81</v>
      </c>
      <c r="T1" t="s">
        <v>50</v>
      </c>
      <c r="U1" t="s">
        <v>60</v>
      </c>
      <c r="V1" t="s">
        <v>88</v>
      </c>
      <c r="W1" t="s">
        <v>11</v>
      </c>
      <c r="X1" t="s">
        <v>12</v>
      </c>
      <c r="Y1" t="s">
        <v>19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89</v>
      </c>
    </row>
    <row r="2" spans="1:42" x14ac:dyDescent="0.3">
      <c r="F2" s="1"/>
      <c r="W2" s="1"/>
    </row>
    <row r="3" spans="1:42" x14ac:dyDescent="0.3">
      <c r="F3" s="1"/>
      <c r="W3" s="1"/>
    </row>
    <row r="4" spans="1:42" x14ac:dyDescent="0.3">
      <c r="F4" s="1"/>
      <c r="W4" s="1"/>
    </row>
    <row r="5" spans="1:42" x14ac:dyDescent="0.3">
      <c r="F5" s="1"/>
      <c r="W5" s="1"/>
    </row>
    <row r="6" spans="1:42" x14ac:dyDescent="0.3">
      <c r="F6" s="1"/>
      <c r="W6" s="1"/>
    </row>
    <row r="7" spans="1:42" x14ac:dyDescent="0.3">
      <c r="F7" s="1"/>
      <c r="W7" s="1"/>
    </row>
    <row r="8" spans="1:42" x14ac:dyDescent="0.3">
      <c r="D8" s="18"/>
      <c r="F8" s="1"/>
      <c r="W8" s="1"/>
    </row>
    <row r="9" spans="1:42" x14ac:dyDescent="0.3">
      <c r="F9" s="1"/>
      <c r="W9" s="1"/>
    </row>
    <row r="10" spans="1:42" x14ac:dyDescent="0.3">
      <c r="F10" s="1"/>
      <c r="W10" s="1"/>
    </row>
    <row r="11" spans="1:42" x14ac:dyDescent="0.3">
      <c r="F11" s="1"/>
      <c r="W11" s="1"/>
    </row>
    <row r="12" spans="1:42" x14ac:dyDescent="0.3">
      <c r="F12" s="1"/>
      <c r="W12" s="1"/>
    </row>
    <row r="13" spans="1:42" x14ac:dyDescent="0.3">
      <c r="F13" s="1"/>
      <c r="W13" s="1"/>
    </row>
    <row r="14" spans="1:42" x14ac:dyDescent="0.3">
      <c r="F14" s="1"/>
      <c r="W14" s="1"/>
    </row>
    <row r="15" spans="1:42" x14ac:dyDescent="0.3">
      <c r="F15" s="1"/>
      <c r="W15" s="1"/>
    </row>
    <row r="16" spans="1:42" x14ac:dyDescent="0.3">
      <c r="F16" s="1"/>
      <c r="W16" s="1"/>
    </row>
    <row r="17" spans="3:23" x14ac:dyDescent="0.3">
      <c r="F17" s="1"/>
      <c r="W17" s="1"/>
    </row>
    <row r="18" spans="3:23" x14ac:dyDescent="0.3">
      <c r="F18" s="1"/>
      <c r="W18" s="1"/>
    </row>
    <row r="19" spans="3:23" x14ac:dyDescent="0.3">
      <c r="F19" s="1"/>
      <c r="W19" s="1"/>
    </row>
    <row r="20" spans="3:23" x14ac:dyDescent="0.3">
      <c r="F20" s="1"/>
      <c r="W20" s="1"/>
    </row>
    <row r="21" spans="3:23" x14ac:dyDescent="0.3">
      <c r="C21" s="18"/>
      <c r="F21" s="1"/>
      <c r="W21" s="1"/>
    </row>
    <row r="22" spans="3:23" x14ac:dyDescent="0.3">
      <c r="F22" s="1"/>
      <c r="W22" s="1"/>
    </row>
    <row r="23" spans="3:23" x14ac:dyDescent="0.3">
      <c r="F23" s="1"/>
      <c r="W23" s="1"/>
    </row>
    <row r="24" spans="3:23" x14ac:dyDescent="0.3">
      <c r="F24" s="1"/>
      <c r="W24" s="1"/>
    </row>
    <row r="25" spans="3:23" x14ac:dyDescent="0.3">
      <c r="F25" s="1"/>
      <c r="W25" s="1"/>
    </row>
    <row r="26" spans="3:23" x14ac:dyDescent="0.3">
      <c r="F26" s="1"/>
      <c r="W26" s="1"/>
    </row>
    <row r="27" spans="3:23" x14ac:dyDescent="0.3">
      <c r="F27" s="1"/>
      <c r="W27" s="1"/>
    </row>
    <row r="28" spans="3:23" x14ac:dyDescent="0.3">
      <c r="F28" s="1"/>
      <c r="W28" s="1"/>
    </row>
    <row r="29" spans="3:23" x14ac:dyDescent="0.3">
      <c r="F29" s="1"/>
      <c r="W29" s="1"/>
    </row>
    <row r="30" spans="3:23" x14ac:dyDescent="0.3">
      <c r="F30" s="1"/>
      <c r="W30" s="1"/>
    </row>
    <row r="31" spans="3:23" x14ac:dyDescent="0.3">
      <c r="F31" s="1"/>
      <c r="W31" s="1"/>
    </row>
    <row r="32" spans="3:23" x14ac:dyDescent="0.3">
      <c r="F32" s="1"/>
      <c r="W32" s="1"/>
    </row>
    <row r="33" spans="6:23" x14ac:dyDescent="0.3">
      <c r="F33" s="1"/>
      <c r="T33" s="18"/>
      <c r="W33" s="1"/>
    </row>
    <row r="34" spans="6:23" x14ac:dyDescent="0.3">
      <c r="F34" s="1"/>
      <c r="W34" s="1"/>
    </row>
    <row r="35" spans="6:23" x14ac:dyDescent="0.3">
      <c r="F35" s="1"/>
      <c r="W35" s="1"/>
    </row>
    <row r="36" spans="6:23" x14ac:dyDescent="0.3">
      <c r="F36" s="1"/>
      <c r="W36" s="1"/>
    </row>
    <row r="37" spans="6:23" x14ac:dyDescent="0.3">
      <c r="F37" s="1"/>
      <c r="W37" s="1"/>
    </row>
    <row r="38" spans="6:23" x14ac:dyDescent="0.3">
      <c r="F38" s="1"/>
      <c r="T38" s="18"/>
      <c r="W38" s="1"/>
    </row>
    <row r="39" spans="6:23" x14ac:dyDescent="0.3">
      <c r="F39" s="1"/>
      <c r="W39" s="1"/>
    </row>
    <row r="40" spans="6:23" x14ac:dyDescent="0.3">
      <c r="F40" s="1"/>
      <c r="W40" s="1"/>
    </row>
    <row r="41" spans="6:23" x14ac:dyDescent="0.3">
      <c r="F41" s="1"/>
      <c r="W41" s="1"/>
    </row>
    <row r="42" spans="6:23" x14ac:dyDescent="0.3">
      <c r="F42" s="1"/>
      <c r="T42" s="18"/>
      <c r="W42" s="1"/>
    </row>
    <row r="43" spans="6:23" x14ac:dyDescent="0.3">
      <c r="F43" s="1"/>
      <c r="W43" s="1"/>
    </row>
    <row r="44" spans="6:23" x14ac:dyDescent="0.3">
      <c r="F44" s="1"/>
      <c r="W44" s="1"/>
    </row>
    <row r="45" spans="6:23" x14ac:dyDescent="0.3">
      <c r="F45" s="1"/>
      <c r="W45" s="1"/>
    </row>
    <row r="46" spans="6:23" x14ac:dyDescent="0.3">
      <c r="F46" s="1"/>
      <c r="S46" s="18"/>
      <c r="W46" s="1"/>
    </row>
    <row r="47" spans="6:23" x14ac:dyDescent="0.3">
      <c r="F47" s="1"/>
      <c r="W47" s="1"/>
    </row>
    <row r="48" spans="6:23" x14ac:dyDescent="0.3">
      <c r="F48" s="1"/>
      <c r="W48" s="1"/>
    </row>
    <row r="49" spans="4:23" x14ac:dyDescent="0.3">
      <c r="F49" s="1"/>
      <c r="W49" s="1"/>
    </row>
    <row r="50" spans="4:23" x14ac:dyDescent="0.3">
      <c r="F50" s="1"/>
      <c r="W50" s="1"/>
    </row>
    <row r="51" spans="4:23" x14ac:dyDescent="0.3">
      <c r="F51" s="1"/>
      <c r="W51" s="1"/>
    </row>
    <row r="52" spans="4:23" x14ac:dyDescent="0.3">
      <c r="F52" s="1"/>
      <c r="W52" s="1"/>
    </row>
    <row r="53" spans="4:23" x14ac:dyDescent="0.3">
      <c r="D53" s="18"/>
      <c r="F53" s="1"/>
      <c r="W53" s="1"/>
    </row>
    <row r="54" spans="4:23" x14ac:dyDescent="0.3">
      <c r="F54" s="1"/>
      <c r="W54" s="1"/>
    </row>
    <row r="55" spans="4:23" x14ac:dyDescent="0.3">
      <c r="F55" s="1"/>
      <c r="W55" s="1"/>
    </row>
    <row r="56" spans="4:23" x14ac:dyDescent="0.3">
      <c r="F56" s="1"/>
      <c r="T56" s="18"/>
      <c r="W56" s="1"/>
    </row>
    <row r="57" spans="4:23" x14ac:dyDescent="0.3">
      <c r="F57" s="1"/>
      <c r="W57" s="1"/>
    </row>
    <row r="58" spans="4:23" x14ac:dyDescent="0.3">
      <c r="F58" s="1"/>
      <c r="W58" s="1"/>
    </row>
    <row r="59" spans="4:23" x14ac:dyDescent="0.3">
      <c r="F59" s="1"/>
      <c r="W59" s="1"/>
    </row>
    <row r="60" spans="4:23" x14ac:dyDescent="0.3">
      <c r="D60" s="18"/>
      <c r="F60" s="1"/>
      <c r="W60" s="1"/>
    </row>
    <row r="61" spans="4:23" x14ac:dyDescent="0.3">
      <c r="F61" s="1"/>
      <c r="W61" s="1"/>
    </row>
    <row r="62" spans="4:23" x14ac:dyDescent="0.3">
      <c r="F62" s="1"/>
      <c r="W62" s="1"/>
    </row>
    <row r="63" spans="4:23" x14ac:dyDescent="0.3">
      <c r="F63" s="1"/>
      <c r="W63" s="1"/>
    </row>
    <row r="64" spans="4:23" x14ac:dyDescent="0.3">
      <c r="F64" s="1"/>
      <c r="W64" s="1"/>
    </row>
    <row r="65" spans="3:23" x14ac:dyDescent="0.3">
      <c r="F65" s="1"/>
      <c r="T65" s="18"/>
      <c r="W65" s="1"/>
    </row>
    <row r="66" spans="3:23" x14ac:dyDescent="0.3">
      <c r="F66" s="1"/>
      <c r="T66" s="18"/>
      <c r="W66" s="1"/>
    </row>
    <row r="67" spans="3:23" x14ac:dyDescent="0.3">
      <c r="F67" s="1"/>
      <c r="W67" s="1"/>
    </row>
    <row r="68" spans="3:23" x14ac:dyDescent="0.3">
      <c r="F68" s="1"/>
      <c r="W68" s="1"/>
    </row>
    <row r="69" spans="3:23" x14ac:dyDescent="0.3">
      <c r="F69" s="1"/>
      <c r="T69" s="18"/>
      <c r="W69" s="1"/>
    </row>
    <row r="70" spans="3:23" x14ac:dyDescent="0.3">
      <c r="F70" s="1"/>
      <c r="T70" s="18"/>
      <c r="W70" s="1"/>
    </row>
    <row r="71" spans="3:23" x14ac:dyDescent="0.3">
      <c r="F71" s="1"/>
      <c r="W71" s="1"/>
    </row>
    <row r="72" spans="3:23" x14ac:dyDescent="0.3">
      <c r="F72" s="1"/>
      <c r="W72" s="1"/>
    </row>
    <row r="73" spans="3:23" x14ac:dyDescent="0.3">
      <c r="F73" s="1"/>
      <c r="W73" s="1"/>
    </row>
    <row r="74" spans="3:23" x14ac:dyDescent="0.3">
      <c r="F74" s="1"/>
      <c r="W74" s="1"/>
    </row>
    <row r="75" spans="3:23" x14ac:dyDescent="0.3">
      <c r="F75" s="1"/>
      <c r="W75" s="1"/>
    </row>
    <row r="76" spans="3:23" x14ac:dyDescent="0.3">
      <c r="F76" s="1"/>
      <c r="W76" s="1"/>
    </row>
    <row r="77" spans="3:23" x14ac:dyDescent="0.3">
      <c r="F77" s="1"/>
      <c r="W77" s="1"/>
    </row>
    <row r="78" spans="3:23" x14ac:dyDescent="0.3">
      <c r="C78" s="18"/>
      <c r="F78" s="1"/>
      <c r="W78" s="1"/>
    </row>
    <row r="79" spans="3:23" x14ac:dyDescent="0.3">
      <c r="F79" s="1"/>
      <c r="W79" s="1"/>
    </row>
    <row r="80" spans="3:23" x14ac:dyDescent="0.3">
      <c r="F80" s="1"/>
      <c r="W80" s="1"/>
    </row>
    <row r="81" spans="3:23" x14ac:dyDescent="0.3">
      <c r="F81" s="1"/>
      <c r="W81" s="1"/>
    </row>
    <row r="82" spans="3:23" x14ac:dyDescent="0.3">
      <c r="F82" s="1"/>
      <c r="W82" s="1"/>
    </row>
    <row r="83" spans="3:23" x14ac:dyDescent="0.3">
      <c r="F83" s="1"/>
      <c r="W83" s="1"/>
    </row>
    <row r="84" spans="3:23" x14ac:dyDescent="0.3">
      <c r="F84" s="1"/>
      <c r="W84" s="1"/>
    </row>
    <row r="85" spans="3:23" x14ac:dyDescent="0.3">
      <c r="F85" s="1"/>
      <c r="W85" s="1"/>
    </row>
    <row r="86" spans="3:23" x14ac:dyDescent="0.3">
      <c r="F86" s="1"/>
      <c r="W86" s="1"/>
    </row>
    <row r="87" spans="3:23" x14ac:dyDescent="0.3">
      <c r="F87" s="1"/>
      <c r="W87" s="1"/>
    </row>
    <row r="88" spans="3:23" x14ac:dyDescent="0.3">
      <c r="F88" s="1"/>
      <c r="W88" s="1"/>
    </row>
    <row r="89" spans="3:23" x14ac:dyDescent="0.3">
      <c r="F89" s="1"/>
      <c r="W89" s="1"/>
    </row>
    <row r="90" spans="3:23" x14ac:dyDescent="0.3">
      <c r="F90" s="1"/>
      <c r="W90" s="1"/>
    </row>
    <row r="91" spans="3:23" x14ac:dyDescent="0.3">
      <c r="F91" s="1"/>
      <c r="W91" s="1"/>
    </row>
    <row r="92" spans="3:23" x14ac:dyDescent="0.3">
      <c r="C92" s="18"/>
      <c r="F92" s="1"/>
      <c r="W92" s="1"/>
    </row>
    <row r="93" spans="3:23" x14ac:dyDescent="0.3">
      <c r="F93" s="1"/>
      <c r="W93" s="1"/>
    </row>
    <row r="94" spans="3:23" x14ac:dyDescent="0.3">
      <c r="F94" s="1"/>
      <c r="W94" s="1"/>
    </row>
    <row r="95" spans="3:23" x14ac:dyDescent="0.3">
      <c r="F95" s="1"/>
      <c r="W95" s="1"/>
    </row>
    <row r="96" spans="3:23" x14ac:dyDescent="0.3">
      <c r="F96" s="1"/>
      <c r="W96" s="1"/>
    </row>
    <row r="97" spans="3:23" x14ac:dyDescent="0.3">
      <c r="F97" s="1"/>
      <c r="W97" s="1"/>
    </row>
    <row r="98" spans="3:23" x14ac:dyDescent="0.3">
      <c r="F98" s="1"/>
      <c r="W98" s="1"/>
    </row>
    <row r="99" spans="3:23" x14ac:dyDescent="0.3">
      <c r="C99" s="18"/>
      <c r="F99" s="1"/>
      <c r="W99" s="1"/>
    </row>
    <row r="100" spans="3:23" x14ac:dyDescent="0.3">
      <c r="F100" s="1"/>
      <c r="W100" s="1"/>
    </row>
    <row r="101" spans="3:23" x14ac:dyDescent="0.3">
      <c r="F101" s="1"/>
      <c r="W101" s="1"/>
    </row>
    <row r="102" spans="3:23" x14ac:dyDescent="0.3">
      <c r="F102" s="1"/>
      <c r="W102" s="1"/>
    </row>
    <row r="103" spans="3:23" x14ac:dyDescent="0.3">
      <c r="F103" s="1"/>
      <c r="W103" s="1"/>
    </row>
    <row r="104" spans="3:23" x14ac:dyDescent="0.3">
      <c r="F104" s="1"/>
      <c r="W104" s="1"/>
    </row>
    <row r="105" spans="3:23" x14ac:dyDescent="0.3">
      <c r="F105" s="1"/>
      <c r="W105" s="1"/>
    </row>
    <row r="106" spans="3:23" x14ac:dyDescent="0.3">
      <c r="F106" s="1"/>
      <c r="W106" s="1"/>
    </row>
    <row r="107" spans="3:23" x14ac:dyDescent="0.3">
      <c r="F107" s="1"/>
      <c r="W107" s="1"/>
    </row>
    <row r="108" spans="3:23" x14ac:dyDescent="0.3">
      <c r="F108" s="1"/>
      <c r="W108" s="1"/>
    </row>
    <row r="109" spans="3:23" x14ac:dyDescent="0.3">
      <c r="F109" s="1"/>
      <c r="W109" s="1"/>
    </row>
    <row r="110" spans="3:23" x14ac:dyDescent="0.3">
      <c r="F110" s="1"/>
      <c r="W110" s="1"/>
    </row>
    <row r="111" spans="3:23" x14ac:dyDescent="0.3">
      <c r="F111" s="1"/>
      <c r="W111" s="1"/>
    </row>
    <row r="112" spans="3:23" x14ac:dyDescent="0.3">
      <c r="F112" s="1"/>
      <c r="W112" s="1"/>
    </row>
    <row r="113" spans="6:23" x14ac:dyDescent="0.3">
      <c r="F113" s="1"/>
      <c r="W113" s="1"/>
    </row>
    <row r="114" spans="6:23" x14ac:dyDescent="0.3">
      <c r="F114" s="1"/>
      <c r="W114" s="1"/>
    </row>
    <row r="115" spans="6:23" x14ac:dyDescent="0.3">
      <c r="F115" s="1"/>
      <c r="W115" s="1"/>
    </row>
    <row r="116" spans="6:23" x14ac:dyDescent="0.3">
      <c r="F116" s="1"/>
      <c r="W116" s="1"/>
    </row>
    <row r="117" spans="6:23" x14ac:dyDescent="0.3">
      <c r="F117" s="1"/>
      <c r="W117" s="1"/>
    </row>
    <row r="118" spans="6:23" x14ac:dyDescent="0.3">
      <c r="F118" s="1"/>
      <c r="W118" s="1"/>
    </row>
    <row r="119" spans="6:23" x14ac:dyDescent="0.3">
      <c r="F119" s="1"/>
      <c r="W119" s="1"/>
    </row>
    <row r="120" spans="6:23" x14ac:dyDescent="0.3">
      <c r="F120" s="1"/>
      <c r="W120" s="1"/>
    </row>
    <row r="121" spans="6:23" x14ac:dyDescent="0.3">
      <c r="F121" s="1"/>
      <c r="W121" s="1"/>
    </row>
    <row r="122" spans="6:23" x14ac:dyDescent="0.3">
      <c r="F122" s="1"/>
      <c r="W122" s="1"/>
    </row>
    <row r="123" spans="6:23" x14ac:dyDescent="0.3">
      <c r="F123" s="1"/>
      <c r="W123" s="1"/>
    </row>
    <row r="124" spans="6:23" x14ac:dyDescent="0.3">
      <c r="F124" s="1"/>
      <c r="W124" s="1"/>
    </row>
    <row r="125" spans="6:23" x14ac:dyDescent="0.3">
      <c r="F125" s="1"/>
      <c r="W125" s="1"/>
    </row>
    <row r="126" spans="6:23" x14ac:dyDescent="0.3">
      <c r="F126" s="1"/>
      <c r="W126" s="1"/>
    </row>
    <row r="127" spans="6:23" x14ac:dyDescent="0.3">
      <c r="F127" s="1"/>
      <c r="W127" s="1"/>
    </row>
    <row r="128" spans="6:23" x14ac:dyDescent="0.3">
      <c r="F128" s="1"/>
      <c r="W128" s="1"/>
    </row>
    <row r="129" spans="6:23" x14ac:dyDescent="0.3">
      <c r="F129" s="1"/>
      <c r="W129" s="1"/>
    </row>
    <row r="130" spans="6:23" x14ac:dyDescent="0.3">
      <c r="F130" s="1"/>
      <c r="W130" s="1"/>
    </row>
    <row r="131" spans="6:23" x14ac:dyDescent="0.3">
      <c r="F131" s="1"/>
      <c r="W131" s="1"/>
    </row>
    <row r="132" spans="6:23" x14ac:dyDescent="0.3">
      <c r="F132" s="1"/>
      <c r="W132" s="1"/>
    </row>
    <row r="133" spans="6:23" x14ac:dyDescent="0.3">
      <c r="F133" s="1"/>
      <c r="W133" s="1"/>
    </row>
    <row r="134" spans="6:23" x14ac:dyDescent="0.3">
      <c r="F134" s="1"/>
      <c r="W134" s="1"/>
    </row>
    <row r="135" spans="6:23" x14ac:dyDescent="0.3">
      <c r="F135" s="1"/>
      <c r="W135" s="1"/>
    </row>
    <row r="136" spans="6:23" x14ac:dyDescent="0.3">
      <c r="F136" s="1"/>
      <c r="W136" s="1"/>
    </row>
    <row r="137" spans="6:23" x14ac:dyDescent="0.3">
      <c r="F137" s="1"/>
      <c r="W137" s="1"/>
    </row>
    <row r="138" spans="6:23" x14ac:dyDescent="0.3">
      <c r="F138" s="1"/>
      <c r="W138" s="1"/>
    </row>
    <row r="139" spans="6:23" x14ac:dyDescent="0.3">
      <c r="F139" s="1"/>
      <c r="W139" s="1"/>
    </row>
    <row r="140" spans="6:23" x14ac:dyDescent="0.3">
      <c r="F140" s="1"/>
      <c r="W140" s="1"/>
    </row>
    <row r="141" spans="6:23" x14ac:dyDescent="0.3">
      <c r="F141" s="1"/>
      <c r="W141" s="1"/>
    </row>
    <row r="142" spans="6:23" x14ac:dyDescent="0.3">
      <c r="F142" s="1"/>
      <c r="W142" s="1"/>
    </row>
    <row r="143" spans="6:23" x14ac:dyDescent="0.3">
      <c r="F143" s="1"/>
      <c r="W143" s="1"/>
    </row>
    <row r="144" spans="6:23" x14ac:dyDescent="0.3">
      <c r="F144" s="1"/>
      <c r="W144" s="1"/>
    </row>
    <row r="145" spans="3:23" x14ac:dyDescent="0.3">
      <c r="F145" s="1"/>
      <c r="W145" s="1"/>
    </row>
    <row r="146" spans="3:23" x14ac:dyDescent="0.3">
      <c r="F146" s="1"/>
      <c r="W146" s="1"/>
    </row>
    <row r="147" spans="3:23" x14ac:dyDescent="0.3">
      <c r="F147" s="1"/>
      <c r="W147" s="1"/>
    </row>
    <row r="148" spans="3:23" x14ac:dyDescent="0.3">
      <c r="F148" s="1"/>
      <c r="W148" s="1"/>
    </row>
    <row r="149" spans="3:23" x14ac:dyDescent="0.3">
      <c r="F149" s="1"/>
      <c r="W149" s="1"/>
    </row>
    <row r="150" spans="3:23" x14ac:dyDescent="0.3">
      <c r="F150" s="1"/>
      <c r="W150" s="1"/>
    </row>
    <row r="151" spans="3:23" x14ac:dyDescent="0.3">
      <c r="F151" s="1"/>
      <c r="W151" s="1"/>
    </row>
    <row r="152" spans="3:23" x14ac:dyDescent="0.3">
      <c r="C152" s="18"/>
      <c r="F152" s="1"/>
      <c r="W152" s="1"/>
    </row>
    <row r="153" spans="3:23" x14ac:dyDescent="0.3">
      <c r="F153" s="1"/>
      <c r="W153" s="1"/>
    </row>
    <row r="154" spans="3:23" x14ac:dyDescent="0.3">
      <c r="F154" s="1"/>
      <c r="W154" s="1"/>
    </row>
    <row r="155" spans="3:23" x14ac:dyDescent="0.3">
      <c r="F155" s="1"/>
      <c r="W155" s="1"/>
    </row>
    <row r="156" spans="3:23" x14ac:dyDescent="0.3">
      <c r="F156" s="1"/>
      <c r="W156" s="1"/>
    </row>
    <row r="157" spans="3:23" x14ac:dyDescent="0.3">
      <c r="F157" s="1"/>
      <c r="W157" s="1"/>
    </row>
    <row r="158" spans="3:23" x14ac:dyDescent="0.3">
      <c r="F158" s="1"/>
      <c r="W158" s="1"/>
    </row>
    <row r="159" spans="3:23" x14ac:dyDescent="0.3">
      <c r="F159" s="1"/>
      <c r="W159" s="1"/>
    </row>
    <row r="160" spans="3:23" x14ac:dyDescent="0.3">
      <c r="F160" s="1"/>
      <c r="W160" s="1"/>
    </row>
    <row r="161" spans="6:23" x14ac:dyDescent="0.3">
      <c r="F161" s="1"/>
      <c r="W161" s="1"/>
    </row>
    <row r="162" spans="6:23" x14ac:dyDescent="0.3">
      <c r="F162" s="1"/>
      <c r="W162" s="1"/>
    </row>
    <row r="163" spans="6:23" x14ac:dyDescent="0.3">
      <c r="F163" s="1"/>
      <c r="W163" s="1"/>
    </row>
    <row r="164" spans="6:23" x14ac:dyDescent="0.3">
      <c r="F164" s="1"/>
      <c r="W164" s="1"/>
    </row>
    <row r="165" spans="6:23" x14ac:dyDescent="0.3">
      <c r="F165" s="1"/>
      <c r="W165" s="1"/>
    </row>
    <row r="166" spans="6:23" x14ac:dyDescent="0.3">
      <c r="F166" s="1"/>
      <c r="W166" s="1"/>
    </row>
    <row r="167" spans="6:23" x14ac:dyDescent="0.3">
      <c r="F167" s="1"/>
      <c r="W167" s="1"/>
    </row>
    <row r="168" spans="6:23" x14ac:dyDescent="0.3">
      <c r="F168" s="1"/>
      <c r="W168" s="1"/>
    </row>
    <row r="169" spans="6:23" x14ac:dyDescent="0.3">
      <c r="F169" s="1"/>
      <c r="W169" s="1"/>
    </row>
    <row r="170" spans="6:23" x14ac:dyDescent="0.3">
      <c r="F170" s="1"/>
      <c r="W170" s="1"/>
    </row>
    <row r="171" spans="6:23" x14ac:dyDescent="0.3">
      <c r="F171" s="1"/>
      <c r="W171" s="1"/>
    </row>
    <row r="172" spans="6:23" x14ac:dyDescent="0.3">
      <c r="F172" s="1"/>
      <c r="W172" s="1"/>
    </row>
    <row r="173" spans="6:23" x14ac:dyDescent="0.3">
      <c r="F173" s="1"/>
      <c r="W173" s="1"/>
    </row>
    <row r="174" spans="6:23" x14ac:dyDescent="0.3">
      <c r="F174" s="1"/>
      <c r="W174" s="1"/>
    </row>
    <row r="175" spans="6:23" x14ac:dyDescent="0.3">
      <c r="F175" s="1"/>
      <c r="W175" s="1"/>
    </row>
    <row r="176" spans="6:23" x14ac:dyDescent="0.3">
      <c r="F176" s="1"/>
      <c r="W176" s="1"/>
    </row>
    <row r="177" spans="6:23" x14ac:dyDescent="0.3">
      <c r="F177" s="1"/>
      <c r="W177" s="1"/>
    </row>
    <row r="178" spans="6:23" x14ac:dyDescent="0.3">
      <c r="F178" s="1"/>
      <c r="W178" s="1"/>
    </row>
    <row r="179" spans="6:23" x14ac:dyDescent="0.3">
      <c r="F179" s="1"/>
      <c r="W179" s="1"/>
    </row>
    <row r="180" spans="6:23" x14ac:dyDescent="0.3">
      <c r="F180" s="1"/>
      <c r="W180" s="1"/>
    </row>
    <row r="181" spans="6:23" x14ac:dyDescent="0.3">
      <c r="F181" s="1"/>
      <c r="W181" s="1"/>
    </row>
    <row r="182" spans="6:23" x14ac:dyDescent="0.3">
      <c r="F182" s="1"/>
      <c r="W182" s="1"/>
    </row>
    <row r="183" spans="6:23" x14ac:dyDescent="0.3">
      <c r="F183" s="1"/>
      <c r="W183" s="1"/>
    </row>
    <row r="184" spans="6:23" x14ac:dyDescent="0.3">
      <c r="F184" s="1"/>
      <c r="W184" s="1"/>
    </row>
    <row r="185" spans="6:23" x14ac:dyDescent="0.3">
      <c r="F185" s="1"/>
      <c r="W185" s="1"/>
    </row>
    <row r="186" spans="6:23" x14ac:dyDescent="0.3">
      <c r="F186" s="1"/>
      <c r="W186" s="1"/>
    </row>
    <row r="187" spans="6:23" x14ac:dyDescent="0.3">
      <c r="F187" s="1"/>
      <c r="W187" s="1"/>
    </row>
    <row r="188" spans="6:23" x14ac:dyDescent="0.3">
      <c r="F188" s="1"/>
      <c r="W188" s="1"/>
    </row>
    <row r="189" spans="6:23" x14ac:dyDescent="0.3">
      <c r="F189" s="1"/>
      <c r="W189" s="1"/>
    </row>
    <row r="190" spans="6:23" x14ac:dyDescent="0.3">
      <c r="F190" s="1"/>
      <c r="V190" s="18"/>
      <c r="W190" s="1"/>
    </row>
    <row r="191" spans="6:23" x14ac:dyDescent="0.3">
      <c r="F191" s="1"/>
      <c r="W191" s="1"/>
    </row>
    <row r="192" spans="6:23" x14ac:dyDescent="0.3">
      <c r="F192" s="1"/>
      <c r="W192" s="1"/>
    </row>
    <row r="193" spans="6:23" x14ac:dyDescent="0.3">
      <c r="F193" s="1"/>
      <c r="W193" s="1"/>
    </row>
    <row r="194" spans="6:23" x14ac:dyDescent="0.3">
      <c r="F194" s="1"/>
      <c r="W194" s="1"/>
    </row>
    <row r="195" spans="6:23" x14ac:dyDescent="0.3">
      <c r="F195" s="1"/>
      <c r="W195" s="1"/>
    </row>
    <row r="196" spans="6:23" x14ac:dyDescent="0.3">
      <c r="F196" s="1"/>
      <c r="W196" s="1"/>
    </row>
    <row r="197" spans="6:23" x14ac:dyDescent="0.3">
      <c r="F197" s="1"/>
      <c r="W197" s="1"/>
    </row>
    <row r="198" spans="6:23" x14ac:dyDescent="0.3">
      <c r="F198" s="1"/>
      <c r="W198" s="1"/>
    </row>
    <row r="199" spans="6:23" x14ac:dyDescent="0.3">
      <c r="F199" s="1"/>
      <c r="W199" s="1"/>
    </row>
    <row r="200" spans="6:23" x14ac:dyDescent="0.3">
      <c r="F200" s="1"/>
      <c r="W200" s="1"/>
    </row>
    <row r="201" spans="6:23" x14ac:dyDescent="0.3">
      <c r="F201" s="1"/>
      <c r="W201" s="1"/>
    </row>
    <row r="202" spans="6:23" x14ac:dyDescent="0.3">
      <c r="F202" s="1"/>
      <c r="W202" s="1"/>
    </row>
    <row r="203" spans="6:23" x14ac:dyDescent="0.3">
      <c r="F203" s="1"/>
      <c r="W203" s="1"/>
    </row>
    <row r="204" spans="6:23" x14ac:dyDescent="0.3">
      <c r="F204" s="1"/>
      <c r="W204" s="1"/>
    </row>
    <row r="205" spans="6:23" x14ac:dyDescent="0.3">
      <c r="F205" s="1"/>
      <c r="W205" s="1"/>
    </row>
    <row r="206" spans="6:23" x14ac:dyDescent="0.3">
      <c r="F206" s="1"/>
      <c r="W206" s="1"/>
    </row>
    <row r="207" spans="6:23" x14ac:dyDescent="0.3">
      <c r="F207" s="1"/>
      <c r="W207" s="1"/>
    </row>
    <row r="208" spans="6:23" x14ac:dyDescent="0.3">
      <c r="F208" s="1"/>
      <c r="W208" s="1"/>
    </row>
    <row r="209" spans="6:23" x14ac:dyDescent="0.3">
      <c r="F209" s="1"/>
      <c r="W209" s="1"/>
    </row>
    <row r="210" spans="6:23" x14ac:dyDescent="0.3">
      <c r="F210" s="1"/>
      <c r="W210" s="1"/>
    </row>
    <row r="211" spans="6:23" x14ac:dyDescent="0.3">
      <c r="F211" s="1"/>
      <c r="W211" s="1"/>
    </row>
    <row r="212" spans="6:23" x14ac:dyDescent="0.3">
      <c r="F212" s="1"/>
      <c r="W212" s="1"/>
    </row>
    <row r="213" spans="6:23" x14ac:dyDescent="0.3">
      <c r="F213" s="1"/>
      <c r="W213" s="1"/>
    </row>
    <row r="214" spans="6:23" x14ac:dyDescent="0.3">
      <c r="F214" s="1"/>
      <c r="W214" s="1"/>
    </row>
    <row r="215" spans="6:23" x14ac:dyDescent="0.3">
      <c r="F215" s="1"/>
      <c r="W215" s="1"/>
    </row>
    <row r="216" spans="6:23" x14ac:dyDescent="0.3">
      <c r="F216" s="1"/>
      <c r="W216" s="1"/>
    </row>
    <row r="217" spans="6:23" x14ac:dyDescent="0.3">
      <c r="F217" s="1"/>
      <c r="W217" s="1"/>
    </row>
    <row r="218" spans="6:23" x14ac:dyDescent="0.3">
      <c r="F218" s="1"/>
      <c r="W218" s="1"/>
    </row>
    <row r="219" spans="6:23" x14ac:dyDescent="0.3">
      <c r="F219" s="1"/>
      <c r="W219" s="1"/>
    </row>
    <row r="220" spans="6:23" x14ac:dyDescent="0.3">
      <c r="F220" s="1"/>
      <c r="W220" s="1"/>
    </row>
    <row r="221" spans="6:23" x14ac:dyDescent="0.3">
      <c r="F221" s="1"/>
      <c r="W221" s="1"/>
    </row>
    <row r="222" spans="6:23" x14ac:dyDescent="0.3">
      <c r="F222" s="1"/>
      <c r="W222" s="1"/>
    </row>
    <row r="223" spans="6:23" x14ac:dyDescent="0.3">
      <c r="F223" s="1"/>
      <c r="W223" s="1"/>
    </row>
    <row r="224" spans="6:23" x14ac:dyDescent="0.3">
      <c r="F224" s="1"/>
      <c r="W224" s="1"/>
    </row>
    <row r="225" spans="3:23" x14ac:dyDescent="0.3">
      <c r="F225" s="1"/>
      <c r="W225" s="1"/>
    </row>
    <row r="226" spans="3:23" x14ac:dyDescent="0.3">
      <c r="F226" s="1"/>
      <c r="W226" s="1"/>
    </row>
    <row r="227" spans="3:23" x14ac:dyDescent="0.3">
      <c r="F227" s="1"/>
      <c r="W227" s="1"/>
    </row>
    <row r="228" spans="3:23" x14ac:dyDescent="0.3">
      <c r="F228" s="1"/>
      <c r="W228" s="1"/>
    </row>
    <row r="229" spans="3:23" x14ac:dyDescent="0.3">
      <c r="F229" s="1"/>
      <c r="W229" s="1"/>
    </row>
    <row r="230" spans="3:23" x14ac:dyDescent="0.3">
      <c r="F230" s="1"/>
      <c r="W230" s="1"/>
    </row>
    <row r="231" spans="3:23" x14ac:dyDescent="0.3">
      <c r="F231" s="1"/>
      <c r="W231" s="1"/>
    </row>
    <row r="232" spans="3:23" x14ac:dyDescent="0.3">
      <c r="F232" s="1"/>
      <c r="W232" s="1"/>
    </row>
    <row r="233" spans="3:23" x14ac:dyDescent="0.3">
      <c r="F233" s="1"/>
      <c r="W233" s="1"/>
    </row>
    <row r="234" spans="3:23" x14ac:dyDescent="0.3">
      <c r="F234" s="1"/>
      <c r="W234" s="1"/>
    </row>
    <row r="235" spans="3:23" x14ac:dyDescent="0.3">
      <c r="F235" s="1"/>
      <c r="W235" s="1"/>
    </row>
    <row r="236" spans="3:23" x14ac:dyDescent="0.3">
      <c r="F236" s="1"/>
      <c r="W236" s="1"/>
    </row>
    <row r="237" spans="3:23" x14ac:dyDescent="0.3">
      <c r="F237" s="1"/>
      <c r="W237" s="1"/>
    </row>
    <row r="238" spans="3:23" x14ac:dyDescent="0.3">
      <c r="C238" s="18"/>
      <c r="F238" s="1"/>
      <c r="W238" s="1"/>
    </row>
    <row r="239" spans="3:23" x14ac:dyDescent="0.3">
      <c r="F239" s="1"/>
      <c r="W239" s="1"/>
    </row>
    <row r="240" spans="3:23" x14ac:dyDescent="0.3">
      <c r="F240" s="1"/>
      <c r="W240" s="1"/>
    </row>
    <row r="241" spans="3:23" x14ac:dyDescent="0.3">
      <c r="F241" s="1"/>
      <c r="W241" s="1"/>
    </row>
    <row r="242" spans="3:23" x14ac:dyDescent="0.3">
      <c r="F242" s="1"/>
      <c r="W242" s="1"/>
    </row>
    <row r="243" spans="3:23" x14ac:dyDescent="0.3">
      <c r="F243" s="1"/>
      <c r="W243" s="1"/>
    </row>
    <row r="244" spans="3:23" x14ac:dyDescent="0.3">
      <c r="F244" s="1"/>
      <c r="W244" s="1"/>
    </row>
    <row r="245" spans="3:23" x14ac:dyDescent="0.3">
      <c r="F245" s="1"/>
      <c r="W245" s="1"/>
    </row>
    <row r="246" spans="3:23" x14ac:dyDescent="0.3">
      <c r="F246" s="1"/>
      <c r="W246" s="1"/>
    </row>
    <row r="247" spans="3:23" x14ac:dyDescent="0.3">
      <c r="F247" s="1"/>
      <c r="W247" s="1"/>
    </row>
    <row r="248" spans="3:23" x14ac:dyDescent="0.3">
      <c r="F248" s="1"/>
      <c r="W248" s="1"/>
    </row>
    <row r="249" spans="3:23" x14ac:dyDescent="0.3">
      <c r="F249" s="1"/>
      <c r="W249" s="1"/>
    </row>
    <row r="250" spans="3:23" x14ac:dyDescent="0.3">
      <c r="F250" s="1"/>
      <c r="W250" s="1"/>
    </row>
    <row r="251" spans="3:23" x14ac:dyDescent="0.3">
      <c r="F251" s="1"/>
      <c r="W251" s="1"/>
    </row>
    <row r="252" spans="3:23" x14ac:dyDescent="0.3">
      <c r="F252" s="1"/>
      <c r="W252" s="1"/>
    </row>
    <row r="253" spans="3:23" x14ac:dyDescent="0.3">
      <c r="D253" s="18"/>
      <c r="F253" s="1"/>
      <c r="W253" s="1"/>
    </row>
    <row r="254" spans="3:23" x14ac:dyDescent="0.3">
      <c r="C254" s="18"/>
      <c r="F254" s="1"/>
      <c r="W254" s="1"/>
    </row>
    <row r="255" spans="3:23" x14ac:dyDescent="0.3">
      <c r="F255" s="1"/>
      <c r="W255" s="1"/>
    </row>
    <row r="256" spans="3:23" x14ac:dyDescent="0.3">
      <c r="F256" s="1"/>
      <c r="W256" s="1"/>
    </row>
    <row r="257" spans="6:23" x14ac:dyDescent="0.3">
      <c r="F257" s="1"/>
      <c r="W257" s="1"/>
    </row>
    <row r="258" spans="6:23" x14ac:dyDescent="0.3">
      <c r="F258" s="1"/>
      <c r="W258" s="1"/>
    </row>
    <row r="259" spans="6:23" x14ac:dyDescent="0.3">
      <c r="F259" s="1"/>
      <c r="W259" s="1"/>
    </row>
    <row r="260" spans="6:23" x14ac:dyDescent="0.3">
      <c r="F260" s="1"/>
      <c r="W260" s="1"/>
    </row>
    <row r="261" spans="6:23" x14ac:dyDescent="0.3">
      <c r="F261" s="1"/>
      <c r="W261" s="1"/>
    </row>
    <row r="262" spans="6:23" x14ac:dyDescent="0.3">
      <c r="F262" s="1"/>
      <c r="W262" s="1"/>
    </row>
    <row r="263" spans="6:23" x14ac:dyDescent="0.3">
      <c r="F263" s="1"/>
      <c r="W263" s="1"/>
    </row>
    <row r="264" spans="6:23" x14ac:dyDescent="0.3">
      <c r="F264" s="1"/>
      <c r="W264" s="1"/>
    </row>
    <row r="265" spans="6:23" x14ac:dyDescent="0.3">
      <c r="F265" s="1"/>
      <c r="W265" s="1"/>
    </row>
    <row r="266" spans="6:23" x14ac:dyDescent="0.3">
      <c r="F266" s="1"/>
      <c r="V266" s="18"/>
      <c r="W266" s="1"/>
    </row>
    <row r="267" spans="6:23" x14ac:dyDescent="0.3">
      <c r="F267" s="1"/>
      <c r="W267" s="1"/>
    </row>
    <row r="268" spans="6:23" x14ac:dyDescent="0.3">
      <c r="F268" s="1"/>
      <c r="W268" s="1"/>
    </row>
    <row r="269" spans="6:23" x14ac:dyDescent="0.3">
      <c r="F269" s="1"/>
      <c r="W269" s="1"/>
    </row>
    <row r="270" spans="6:23" x14ac:dyDescent="0.3">
      <c r="F270" s="1"/>
      <c r="W270" s="1"/>
    </row>
    <row r="271" spans="6:23" x14ac:dyDescent="0.3">
      <c r="F271" s="1"/>
      <c r="W271" s="1"/>
    </row>
    <row r="272" spans="6:23" x14ac:dyDescent="0.3">
      <c r="F272" s="1"/>
      <c r="W272" s="1"/>
    </row>
    <row r="273" spans="4:23" x14ac:dyDescent="0.3">
      <c r="F273" s="1"/>
      <c r="W273" s="1"/>
    </row>
    <row r="274" spans="4:23" x14ac:dyDescent="0.3">
      <c r="F274" s="1"/>
      <c r="W274" s="1"/>
    </row>
    <row r="275" spans="4:23" x14ac:dyDescent="0.3">
      <c r="F275" s="1"/>
      <c r="W275" s="1"/>
    </row>
    <row r="276" spans="4:23" x14ac:dyDescent="0.3">
      <c r="F276" s="1"/>
      <c r="W276" s="1"/>
    </row>
    <row r="277" spans="4:23" x14ac:dyDescent="0.3">
      <c r="F277" s="1"/>
      <c r="W277" s="1"/>
    </row>
    <row r="278" spans="4:23" x14ac:dyDescent="0.3">
      <c r="F278" s="1"/>
      <c r="W278" s="1"/>
    </row>
    <row r="279" spans="4:23" x14ac:dyDescent="0.3">
      <c r="F279" s="1"/>
      <c r="W279" s="1"/>
    </row>
    <row r="280" spans="4:23" x14ac:dyDescent="0.3">
      <c r="F280" s="1"/>
      <c r="W280" s="1"/>
    </row>
    <row r="281" spans="4:23" x14ac:dyDescent="0.3">
      <c r="F281" s="1"/>
      <c r="W281" s="1"/>
    </row>
    <row r="282" spans="4:23" x14ac:dyDescent="0.3">
      <c r="D282" s="18"/>
      <c r="F282" s="1"/>
      <c r="W282" s="1"/>
    </row>
    <row r="283" spans="4:23" x14ac:dyDescent="0.3">
      <c r="F283" s="1"/>
      <c r="W283" s="1"/>
    </row>
    <row r="284" spans="4:23" x14ac:dyDescent="0.3">
      <c r="F284" s="1"/>
      <c r="W284" s="1"/>
    </row>
    <row r="285" spans="4:23" x14ac:dyDescent="0.3">
      <c r="F285" s="1"/>
      <c r="W285" s="1"/>
    </row>
    <row r="286" spans="4:23" x14ac:dyDescent="0.3">
      <c r="F286" s="1"/>
      <c r="W286" s="1"/>
    </row>
    <row r="287" spans="4:23" x14ac:dyDescent="0.3">
      <c r="F287" s="1"/>
      <c r="W287" s="1"/>
    </row>
    <row r="288" spans="4:23" x14ac:dyDescent="0.3">
      <c r="F288" s="1"/>
      <c r="W288" s="1"/>
    </row>
    <row r="289" spans="6:23" x14ac:dyDescent="0.3">
      <c r="F289" s="1"/>
      <c r="W289" s="1"/>
    </row>
    <row r="290" spans="6:23" x14ac:dyDescent="0.3">
      <c r="F290" s="1"/>
      <c r="W290" s="1"/>
    </row>
    <row r="291" spans="6:23" x14ac:dyDescent="0.3">
      <c r="F291" s="1"/>
      <c r="W291" s="1"/>
    </row>
    <row r="292" spans="6:23" x14ac:dyDescent="0.3">
      <c r="F292" s="1"/>
      <c r="W292" s="1"/>
    </row>
    <row r="293" spans="6:23" x14ac:dyDescent="0.3">
      <c r="F293" s="1"/>
      <c r="W293" s="1"/>
    </row>
    <row r="294" spans="6:23" x14ac:dyDescent="0.3">
      <c r="F294" s="1"/>
      <c r="W294" s="1"/>
    </row>
    <row r="295" spans="6:23" x14ac:dyDescent="0.3">
      <c r="F295" s="1"/>
      <c r="W295" s="1"/>
    </row>
    <row r="296" spans="6:23" x14ac:dyDescent="0.3">
      <c r="F296" s="1"/>
      <c r="W296" s="1"/>
    </row>
    <row r="297" spans="6:23" x14ac:dyDescent="0.3">
      <c r="F297" s="1"/>
      <c r="T297" s="18"/>
      <c r="W297" s="1"/>
    </row>
    <row r="298" spans="6:23" x14ac:dyDescent="0.3">
      <c r="F298" s="1"/>
      <c r="W298" s="1"/>
    </row>
    <row r="299" spans="6:23" x14ac:dyDescent="0.3">
      <c r="F299" s="1"/>
      <c r="W299" s="1"/>
    </row>
    <row r="300" spans="6:23" x14ac:dyDescent="0.3">
      <c r="F300" s="1"/>
      <c r="W300" s="1"/>
    </row>
    <row r="301" spans="6:23" x14ac:dyDescent="0.3">
      <c r="F301" s="1"/>
      <c r="W301" s="1"/>
    </row>
    <row r="302" spans="6:23" x14ac:dyDescent="0.3">
      <c r="F302" s="1"/>
      <c r="W302" s="1"/>
    </row>
    <row r="303" spans="6:23" x14ac:dyDescent="0.3">
      <c r="F303" s="1"/>
      <c r="W303" s="1"/>
    </row>
    <row r="304" spans="6:23" x14ac:dyDescent="0.3">
      <c r="F304" s="1"/>
      <c r="W304" s="1"/>
    </row>
    <row r="305" spans="6:23" x14ac:dyDescent="0.3">
      <c r="F305" s="1"/>
      <c r="W305" s="1"/>
    </row>
    <row r="306" spans="6:23" x14ac:dyDescent="0.3">
      <c r="F306" s="1"/>
      <c r="W306" s="1"/>
    </row>
    <row r="307" spans="6:23" x14ac:dyDescent="0.3">
      <c r="F307" s="1"/>
      <c r="W307" s="1"/>
    </row>
    <row r="308" spans="6:23" x14ac:dyDescent="0.3">
      <c r="F308" s="1"/>
      <c r="W308" s="1"/>
    </row>
    <row r="309" spans="6:23" x14ac:dyDescent="0.3">
      <c r="F309" s="1"/>
      <c r="W309" s="1"/>
    </row>
    <row r="310" spans="6:23" x14ac:dyDescent="0.3">
      <c r="F310" s="1"/>
      <c r="W310" s="1"/>
    </row>
    <row r="311" spans="6:23" x14ac:dyDescent="0.3">
      <c r="F311" s="1"/>
      <c r="W311" s="1"/>
    </row>
    <row r="312" spans="6:23" x14ac:dyDescent="0.3">
      <c r="F312" s="1"/>
      <c r="W312" s="1"/>
    </row>
    <row r="313" spans="6:23" x14ac:dyDescent="0.3">
      <c r="F313" s="1"/>
      <c r="W313" s="1"/>
    </row>
    <row r="314" spans="6:23" x14ac:dyDescent="0.3">
      <c r="F314" s="1"/>
      <c r="W314" s="1"/>
    </row>
    <row r="315" spans="6:23" x14ac:dyDescent="0.3">
      <c r="F315" s="1"/>
      <c r="W315" s="1"/>
    </row>
    <row r="316" spans="6:23" x14ac:dyDescent="0.3">
      <c r="F316" s="1"/>
      <c r="W316" s="1"/>
    </row>
    <row r="317" spans="6:23" x14ac:dyDescent="0.3">
      <c r="F317" s="1"/>
      <c r="W317" s="1"/>
    </row>
    <row r="318" spans="6:23" x14ac:dyDescent="0.3">
      <c r="F318" s="1"/>
      <c r="W318" s="1"/>
    </row>
    <row r="319" spans="6:23" x14ac:dyDescent="0.3">
      <c r="F319" s="1"/>
      <c r="W319" s="1"/>
    </row>
    <row r="320" spans="6:23" x14ac:dyDescent="0.3">
      <c r="F320" s="1"/>
      <c r="W320" s="1"/>
    </row>
    <row r="321" spans="6:23" x14ac:dyDescent="0.3">
      <c r="F321" s="1"/>
      <c r="W321" s="1"/>
    </row>
    <row r="322" spans="6:23" x14ac:dyDescent="0.3">
      <c r="F322" s="1"/>
      <c r="W322" s="1"/>
    </row>
    <row r="323" spans="6:23" x14ac:dyDescent="0.3">
      <c r="F323" s="1"/>
      <c r="W323" s="1"/>
    </row>
    <row r="324" spans="6:23" x14ac:dyDescent="0.3">
      <c r="F324" s="1"/>
      <c r="W324" s="1"/>
    </row>
    <row r="325" spans="6:23" x14ac:dyDescent="0.3">
      <c r="F325" s="1"/>
      <c r="W325" s="1"/>
    </row>
    <row r="326" spans="6:23" x14ac:dyDescent="0.3">
      <c r="F326" s="1"/>
      <c r="W326" s="1"/>
    </row>
    <row r="327" spans="6:23" x14ac:dyDescent="0.3">
      <c r="F327" s="1"/>
      <c r="W327" s="1"/>
    </row>
    <row r="328" spans="6:23" x14ac:dyDescent="0.3">
      <c r="F328" s="1"/>
      <c r="W328" s="1"/>
    </row>
    <row r="329" spans="6:23" x14ac:dyDescent="0.3">
      <c r="F329" s="1"/>
      <c r="W329" s="1"/>
    </row>
    <row r="330" spans="6:23" x14ac:dyDescent="0.3">
      <c r="F330" s="1"/>
      <c r="W330" s="1"/>
    </row>
    <row r="331" spans="6:23" x14ac:dyDescent="0.3">
      <c r="F331" s="1"/>
      <c r="W331" s="1"/>
    </row>
    <row r="332" spans="6:23" x14ac:dyDescent="0.3">
      <c r="F332" s="1"/>
      <c r="W332" s="1"/>
    </row>
    <row r="333" spans="6:23" x14ac:dyDescent="0.3">
      <c r="F333" s="1"/>
      <c r="W333" s="1"/>
    </row>
    <row r="334" spans="6:23" x14ac:dyDescent="0.3">
      <c r="F334" s="1"/>
      <c r="W334" s="1"/>
    </row>
    <row r="335" spans="6:23" x14ac:dyDescent="0.3">
      <c r="F335" s="1"/>
      <c r="W335" s="1"/>
    </row>
    <row r="336" spans="6:23" x14ac:dyDescent="0.3">
      <c r="F336" s="1"/>
      <c r="W336" s="1"/>
    </row>
    <row r="337" spans="6:23" x14ac:dyDescent="0.3">
      <c r="F337" s="1"/>
      <c r="W337" s="1"/>
    </row>
    <row r="338" spans="6:23" x14ac:dyDescent="0.3">
      <c r="F338" s="1"/>
      <c r="W338" s="1"/>
    </row>
    <row r="339" spans="6:23" x14ac:dyDescent="0.3">
      <c r="F339" s="1"/>
      <c r="W339" s="1"/>
    </row>
    <row r="340" spans="6:23" x14ac:dyDescent="0.3">
      <c r="F340" s="1"/>
      <c r="W340" s="1"/>
    </row>
    <row r="341" spans="6:23" x14ac:dyDescent="0.3">
      <c r="F341" s="1"/>
      <c r="W341" s="1"/>
    </row>
    <row r="342" spans="6:23" x14ac:dyDescent="0.3">
      <c r="F342" s="1"/>
      <c r="W342" s="1"/>
    </row>
    <row r="343" spans="6:23" x14ac:dyDescent="0.3">
      <c r="F343" s="1"/>
      <c r="W343" s="1"/>
    </row>
    <row r="344" spans="6:23" x14ac:dyDescent="0.3">
      <c r="F344" s="1"/>
      <c r="W344" s="1"/>
    </row>
    <row r="345" spans="6:23" x14ac:dyDescent="0.3">
      <c r="F345" s="1"/>
      <c r="W345" s="1"/>
    </row>
    <row r="346" spans="6:23" x14ac:dyDescent="0.3">
      <c r="F346" s="1"/>
      <c r="W346" s="1"/>
    </row>
    <row r="347" spans="6:23" x14ac:dyDescent="0.3">
      <c r="F347" s="1"/>
      <c r="W347" s="1"/>
    </row>
    <row r="348" spans="6:23" x14ac:dyDescent="0.3">
      <c r="F348" s="1"/>
      <c r="W348" s="1"/>
    </row>
    <row r="349" spans="6:23" x14ac:dyDescent="0.3">
      <c r="F349" s="1"/>
      <c r="W349" s="1"/>
    </row>
    <row r="350" spans="6:23" x14ac:dyDescent="0.3">
      <c r="F350" s="1"/>
      <c r="W350" s="1"/>
    </row>
    <row r="351" spans="6:23" x14ac:dyDescent="0.3">
      <c r="F351" s="1"/>
      <c r="V351" s="18"/>
      <c r="W351" s="1"/>
    </row>
    <row r="352" spans="6:23" x14ac:dyDescent="0.3">
      <c r="F352" s="1"/>
      <c r="W352" s="1"/>
    </row>
    <row r="353" spans="6:23" x14ac:dyDescent="0.3">
      <c r="F353" s="1"/>
      <c r="W353" s="1"/>
    </row>
    <row r="354" spans="6:23" x14ac:dyDescent="0.3">
      <c r="F354" s="1"/>
      <c r="W354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E5CA-214A-4E50-B116-9E7842304B8D}">
  <dimension ref="A1:P356"/>
  <sheetViews>
    <sheetView zoomScale="85" zoomScaleNormal="85" workbookViewId="0">
      <selection activeCell="M354" sqref="M354"/>
    </sheetView>
  </sheetViews>
  <sheetFormatPr baseColWidth="10" defaultRowHeight="14.4" x14ac:dyDescent="0.3"/>
  <cols>
    <col min="4" max="4" width="14.44140625" bestFit="1" customWidth="1"/>
    <col min="5" max="5" width="13" customWidth="1"/>
    <col min="6" max="6" width="13.5546875" customWidth="1"/>
    <col min="8" max="9" width="15.33203125" bestFit="1" customWidth="1"/>
    <col min="13" max="13" width="11.5546875" bestFit="1" customWidth="1"/>
  </cols>
  <sheetData>
    <row r="1" spans="1:16" ht="21" x14ac:dyDescent="0.4">
      <c r="A1" s="8" t="s">
        <v>72</v>
      </c>
      <c r="D1" s="15"/>
      <c r="M1" s="2"/>
      <c r="P1" s="2"/>
    </row>
    <row r="2" spans="1:16" ht="21" x14ac:dyDescent="0.4">
      <c r="A2" s="8"/>
      <c r="D2" s="19" t="s">
        <v>92</v>
      </c>
      <c r="E2" s="19"/>
      <c r="F2" s="19"/>
      <c r="G2" s="19"/>
      <c r="H2" s="19"/>
      <c r="I2" s="19"/>
      <c r="K2" s="19" t="s">
        <v>73</v>
      </c>
      <c r="L2" s="19"/>
    </row>
    <row r="3" spans="1:16" x14ac:dyDescent="0.3">
      <c r="B3" s="2" t="s">
        <v>71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90</v>
      </c>
      <c r="I3" s="2" t="s">
        <v>91</v>
      </c>
      <c r="K3" s="2" t="s">
        <v>74</v>
      </c>
      <c r="L3" s="2" t="s">
        <v>75</v>
      </c>
      <c r="N3">
        <f>COUNTA(CSV_Import!A:A)+2</f>
        <v>3</v>
      </c>
    </row>
    <row r="4" spans="1:16" x14ac:dyDescent="0.3">
      <c r="B4">
        <f>(CSV_Import!G2-CSV_Import!$G$2)/1000</f>
        <v>0</v>
      </c>
      <c r="D4">
        <f>ROUND(TAN(RADIANS(CSV_Import!D2))*((Auswertung!$C$7*100)/2-Auswertung!$C$8),3)</f>
        <v>0</v>
      </c>
      <c r="E4">
        <f>ROUND(TAN(RADIANS(CSV_Import!U2))*((Auswertung!$C$7/2)*100-Auswertung!$C$8),3)</f>
        <v>0</v>
      </c>
      <c r="F4">
        <f>ROUND(TAN(RADIANS(CSV_Import!B2))*((Auswertung!$C$7/2)*100-Auswertung!$C$8),3)</f>
        <v>0</v>
      </c>
      <c r="G4">
        <f>ROUND(TAN(RADIANS(CSV_Import!S2))*((Auswertung!$C$7/2)*100-Auswertung!$C$8),3)</f>
        <v>0</v>
      </c>
      <c r="H4">
        <f>ROUND(TAN(RADIANS(CSV_Import!E2))*((Auswertung!$C$7/2)*100-Auswertung!$C$8),3)</f>
        <v>0</v>
      </c>
      <c r="I4">
        <f>ROUND(TAN(RADIANS(CSV_Import!V2))*((Auswertung!$C$7/2)*100-Auswertung!$C$8),3)</f>
        <v>0</v>
      </c>
      <c r="K4">
        <f>(CSV_Import!$N$2-CSV_Import!N2)</f>
        <v>0</v>
      </c>
      <c r="L4">
        <f>(CSV_Import!$AE$2-CSV_Import!AE2)</f>
        <v>0</v>
      </c>
    </row>
    <row r="5" spans="1:16" x14ac:dyDescent="0.3">
      <c r="B5">
        <f>(CSV_Import!G3-CSV_Import!$G$2)/1000</f>
        <v>0</v>
      </c>
      <c r="D5">
        <f>ROUND(TAN(RADIANS(CSV_Import!D3))*((Auswertung!$C$7*100)/2-Auswertung!$C$8),3)</f>
        <v>0</v>
      </c>
      <c r="E5">
        <f>ROUND(TAN(RADIANS(CSV_Import!U3))*((Auswertung!$C$7/2)*100-Auswertung!$C$8),3)</f>
        <v>0</v>
      </c>
      <c r="F5">
        <f>ROUND(TAN(RADIANS(CSV_Import!B3))*((Auswertung!$C$7/2)*100-Auswertung!$C$8),3)</f>
        <v>0</v>
      </c>
      <c r="G5">
        <f>ROUND(TAN(RADIANS(CSV_Import!S3))*((Auswertung!$C$7/2)*100-Auswertung!$C$8),3)</f>
        <v>0</v>
      </c>
      <c r="H5">
        <f>ROUND(TAN(RADIANS(CSV_Import!E3))*((Auswertung!$C$7/2)*100-Auswertung!$C$8),3)</f>
        <v>0</v>
      </c>
      <c r="I5">
        <f>ROUND(TAN(RADIANS(CSV_Import!V3))*((Auswertung!$C$7/2)*100-Auswertung!$C$8),3)</f>
        <v>0</v>
      </c>
      <c r="K5">
        <f>(CSV_Import!$N$2-CSV_Import!N3)</f>
        <v>0</v>
      </c>
      <c r="L5">
        <f>(CSV_Import!$AE$2-CSV_Import!AE3)</f>
        <v>0</v>
      </c>
    </row>
    <row r="6" spans="1:16" x14ac:dyDescent="0.3">
      <c r="B6">
        <f>(CSV_Import!G4-CSV_Import!$G$2)/1000</f>
        <v>0</v>
      </c>
      <c r="D6">
        <f>ROUND(TAN(RADIANS(CSV_Import!D4))*((Auswertung!$C$7*100)/2-Auswertung!$C$8),3)</f>
        <v>0</v>
      </c>
      <c r="E6">
        <f>ROUND(TAN(RADIANS(CSV_Import!U4))*((Auswertung!$C$7/2)*100-Auswertung!$C$8),3)</f>
        <v>0</v>
      </c>
      <c r="F6">
        <f>ROUND(TAN(RADIANS(CSV_Import!B4))*((Auswertung!$C$7/2)*100-Auswertung!$C$8),3)</f>
        <v>0</v>
      </c>
      <c r="G6">
        <f>ROUND(TAN(RADIANS(CSV_Import!S4))*((Auswertung!$C$7/2)*100-Auswertung!$C$8),3)</f>
        <v>0</v>
      </c>
      <c r="H6">
        <f>ROUND(TAN(RADIANS(CSV_Import!E4))*((Auswertung!$C$7/2)*100-Auswertung!$C$8),3)</f>
        <v>0</v>
      </c>
      <c r="I6">
        <f>ROUND(TAN(RADIANS(CSV_Import!V4))*((Auswertung!$C$7/2)*100-Auswertung!$C$8),3)</f>
        <v>0</v>
      </c>
      <c r="K6">
        <f>(CSV_Import!$N$2-CSV_Import!N4)</f>
        <v>0</v>
      </c>
      <c r="L6">
        <f>(CSV_Import!$AE$2-CSV_Import!AE4)</f>
        <v>0</v>
      </c>
    </row>
    <row r="7" spans="1:16" x14ac:dyDescent="0.3">
      <c r="B7">
        <f>(CSV_Import!G5-CSV_Import!$G$2)/1000</f>
        <v>0</v>
      </c>
      <c r="D7">
        <f>ROUND(TAN(RADIANS(CSV_Import!D5))*((Auswertung!$C$7*100)/2-Auswertung!$C$8),3)</f>
        <v>0</v>
      </c>
      <c r="E7">
        <f>ROUND(TAN(RADIANS(CSV_Import!U5))*((Auswertung!$C$7/2)*100-Auswertung!$C$8),3)</f>
        <v>0</v>
      </c>
      <c r="F7">
        <f>ROUND(TAN(RADIANS(CSV_Import!B5))*((Auswertung!$C$7/2)*100-Auswertung!$C$8),3)</f>
        <v>0</v>
      </c>
      <c r="G7">
        <f>ROUND(TAN(RADIANS(CSV_Import!S5))*((Auswertung!$C$7/2)*100-Auswertung!$C$8),3)</f>
        <v>0</v>
      </c>
      <c r="H7">
        <f>ROUND(TAN(RADIANS(CSV_Import!E5))*((Auswertung!$C$7/2)*100-Auswertung!$C$8),3)</f>
        <v>0</v>
      </c>
      <c r="I7">
        <f>ROUND(TAN(RADIANS(CSV_Import!V5))*((Auswertung!$C$7/2)*100-Auswertung!$C$8),3)</f>
        <v>0</v>
      </c>
      <c r="K7">
        <f>(CSV_Import!$N$2-CSV_Import!N5)</f>
        <v>0</v>
      </c>
      <c r="L7">
        <f>(CSV_Import!$AE$2-CSV_Import!AE5)</f>
        <v>0</v>
      </c>
    </row>
    <row r="8" spans="1:16" x14ac:dyDescent="0.3">
      <c r="B8">
        <f>(CSV_Import!G6-CSV_Import!$G$2)/1000</f>
        <v>0</v>
      </c>
      <c r="D8">
        <f>ROUND(TAN(RADIANS(CSV_Import!D6))*((Auswertung!$C$7*100)/2-Auswertung!$C$8),3)</f>
        <v>0</v>
      </c>
      <c r="E8">
        <f>ROUND(TAN(RADIANS(CSV_Import!U6))*((Auswertung!$C$7/2)*100-Auswertung!$C$8),3)</f>
        <v>0</v>
      </c>
      <c r="F8">
        <f>ROUND(TAN(RADIANS(CSV_Import!B6))*((Auswertung!$C$7/2)*100-Auswertung!$C$8),3)</f>
        <v>0</v>
      </c>
      <c r="G8">
        <f>ROUND(TAN(RADIANS(CSV_Import!S6))*((Auswertung!$C$7/2)*100-Auswertung!$C$8),3)</f>
        <v>0</v>
      </c>
      <c r="H8">
        <f>ROUND(TAN(RADIANS(CSV_Import!E6))*((Auswertung!$C$7/2)*100-Auswertung!$C$8),3)</f>
        <v>0</v>
      </c>
      <c r="I8">
        <f>ROUND(TAN(RADIANS(CSV_Import!V6))*((Auswertung!$C$7/2)*100-Auswertung!$C$8),3)</f>
        <v>0</v>
      </c>
      <c r="K8">
        <f>(CSV_Import!$N$2-CSV_Import!N6)</f>
        <v>0</v>
      </c>
      <c r="L8">
        <f>(CSV_Import!$AE$2-CSV_Import!AE6)</f>
        <v>0</v>
      </c>
    </row>
    <row r="9" spans="1:16" x14ac:dyDescent="0.3">
      <c r="B9">
        <f>(CSV_Import!G7-CSV_Import!$G$2)/1000</f>
        <v>0</v>
      </c>
      <c r="D9">
        <f>ROUND(TAN(RADIANS(CSV_Import!D7))*((Auswertung!$C$7*100)/2-Auswertung!$C$8),3)</f>
        <v>0</v>
      </c>
      <c r="E9">
        <f>ROUND(TAN(RADIANS(CSV_Import!U7))*((Auswertung!$C$7/2)*100-Auswertung!$C$8),3)</f>
        <v>0</v>
      </c>
      <c r="F9">
        <f>ROUND(TAN(RADIANS(CSV_Import!B7))*((Auswertung!$C$7/2)*100-Auswertung!$C$8),3)</f>
        <v>0</v>
      </c>
      <c r="G9">
        <f>ROUND(TAN(RADIANS(CSV_Import!S7))*((Auswertung!$C$7/2)*100-Auswertung!$C$8),3)</f>
        <v>0</v>
      </c>
      <c r="H9">
        <f>ROUND(TAN(RADIANS(CSV_Import!E7))*((Auswertung!$C$7/2)*100-Auswertung!$C$8),3)</f>
        <v>0</v>
      </c>
      <c r="I9">
        <f>ROUND(TAN(RADIANS(CSV_Import!V7))*((Auswertung!$C$7/2)*100-Auswertung!$C$8),3)</f>
        <v>0</v>
      </c>
      <c r="K9">
        <f>(CSV_Import!$N$2-CSV_Import!N7)</f>
        <v>0</v>
      </c>
      <c r="L9">
        <f>(CSV_Import!$AE$2-CSV_Import!AE7)</f>
        <v>0</v>
      </c>
    </row>
    <row r="10" spans="1:16" x14ac:dyDescent="0.3">
      <c r="B10">
        <f>(CSV_Import!G8-CSV_Import!$G$2)/1000</f>
        <v>0</v>
      </c>
      <c r="D10">
        <f>ROUND(TAN(RADIANS(CSV_Import!D8))*((Auswertung!$C$7*100)/2-Auswertung!$C$8),3)</f>
        <v>0</v>
      </c>
      <c r="E10">
        <f>ROUND(TAN(RADIANS(CSV_Import!U8))*((Auswertung!$C$7/2)*100-Auswertung!$C$8),3)</f>
        <v>0</v>
      </c>
      <c r="F10">
        <f>ROUND(TAN(RADIANS(CSV_Import!B8))*((Auswertung!$C$7/2)*100-Auswertung!$C$8),3)</f>
        <v>0</v>
      </c>
      <c r="G10">
        <f>ROUND(TAN(RADIANS(CSV_Import!S8))*((Auswertung!$C$7/2)*100-Auswertung!$C$8),3)</f>
        <v>0</v>
      </c>
      <c r="H10">
        <f>ROUND(TAN(RADIANS(CSV_Import!E8))*((Auswertung!$C$7/2)*100-Auswertung!$C$8),3)</f>
        <v>0</v>
      </c>
      <c r="I10">
        <f>ROUND(TAN(RADIANS(CSV_Import!V8))*((Auswertung!$C$7/2)*100-Auswertung!$C$8),3)</f>
        <v>0</v>
      </c>
      <c r="K10">
        <f>(CSV_Import!$N$2-CSV_Import!N8)</f>
        <v>0</v>
      </c>
      <c r="L10">
        <f>(CSV_Import!$AE$2-CSV_Import!AE8)</f>
        <v>0</v>
      </c>
    </row>
    <row r="11" spans="1:16" x14ac:dyDescent="0.3">
      <c r="B11">
        <f>(CSV_Import!G9-CSV_Import!$G$2)/1000</f>
        <v>0</v>
      </c>
      <c r="D11">
        <f>ROUND(TAN(RADIANS(CSV_Import!D9))*((Auswertung!$C$7*100)/2-Auswertung!$C$8),3)</f>
        <v>0</v>
      </c>
      <c r="E11">
        <f>ROUND(TAN(RADIANS(CSV_Import!U9))*((Auswertung!$C$7/2)*100-Auswertung!$C$8),3)</f>
        <v>0</v>
      </c>
      <c r="F11">
        <f>ROUND(TAN(RADIANS(CSV_Import!B9))*((Auswertung!$C$7/2)*100-Auswertung!$C$8),3)</f>
        <v>0</v>
      </c>
      <c r="G11">
        <f>ROUND(TAN(RADIANS(CSV_Import!S9))*((Auswertung!$C$7/2)*100-Auswertung!$C$8),3)</f>
        <v>0</v>
      </c>
      <c r="H11">
        <f>ROUND(TAN(RADIANS(CSV_Import!E9))*((Auswertung!$C$7/2)*100-Auswertung!$C$8),3)</f>
        <v>0</v>
      </c>
      <c r="I11">
        <f>ROUND(TAN(RADIANS(CSV_Import!V9))*((Auswertung!$C$7/2)*100-Auswertung!$C$8),3)</f>
        <v>0</v>
      </c>
      <c r="K11">
        <f>(CSV_Import!$N$2-CSV_Import!N9)</f>
        <v>0</v>
      </c>
      <c r="L11">
        <f>(CSV_Import!$AE$2-CSV_Import!AE9)</f>
        <v>0</v>
      </c>
    </row>
    <row r="12" spans="1:16" x14ac:dyDescent="0.3">
      <c r="B12">
        <f>(CSV_Import!G10-CSV_Import!$G$2)/1000</f>
        <v>0</v>
      </c>
      <c r="D12">
        <f>ROUND(TAN(RADIANS(CSV_Import!D10))*((Auswertung!$C$7*100)/2-Auswertung!$C$8),3)</f>
        <v>0</v>
      </c>
      <c r="E12">
        <f>ROUND(TAN(RADIANS(CSV_Import!U10))*((Auswertung!$C$7/2)*100-Auswertung!$C$8),3)</f>
        <v>0</v>
      </c>
      <c r="F12">
        <f>ROUND(TAN(RADIANS(CSV_Import!B10))*((Auswertung!$C$7/2)*100-Auswertung!$C$8),3)</f>
        <v>0</v>
      </c>
      <c r="G12">
        <f>ROUND(TAN(RADIANS(CSV_Import!S10))*((Auswertung!$C$7/2)*100-Auswertung!$C$8),3)</f>
        <v>0</v>
      </c>
      <c r="H12">
        <f>ROUND(TAN(RADIANS(CSV_Import!E10))*((Auswertung!$C$7/2)*100-Auswertung!$C$8),3)</f>
        <v>0</v>
      </c>
      <c r="I12">
        <f>ROUND(TAN(RADIANS(CSV_Import!V10))*((Auswertung!$C$7/2)*100-Auswertung!$C$8),3)</f>
        <v>0</v>
      </c>
      <c r="K12">
        <f>(CSV_Import!$N$2-CSV_Import!N10)</f>
        <v>0</v>
      </c>
      <c r="L12">
        <f>(CSV_Import!$AE$2-CSV_Import!AE10)</f>
        <v>0</v>
      </c>
    </row>
    <row r="13" spans="1:16" x14ac:dyDescent="0.3">
      <c r="B13">
        <f>(CSV_Import!G11-CSV_Import!$G$2)/1000</f>
        <v>0</v>
      </c>
      <c r="D13">
        <f>ROUND(TAN(RADIANS(CSV_Import!D11))*((Auswertung!$C$7*100)/2-Auswertung!$C$8),3)</f>
        <v>0</v>
      </c>
      <c r="E13">
        <f>ROUND(TAN(RADIANS(CSV_Import!U11))*((Auswertung!$C$7/2)*100-Auswertung!$C$8),3)</f>
        <v>0</v>
      </c>
      <c r="F13">
        <f>ROUND(TAN(RADIANS(CSV_Import!B11))*((Auswertung!$C$7/2)*100-Auswertung!$C$8),3)</f>
        <v>0</v>
      </c>
      <c r="G13">
        <f>ROUND(TAN(RADIANS(CSV_Import!S11))*((Auswertung!$C$7/2)*100-Auswertung!$C$8),3)</f>
        <v>0</v>
      </c>
      <c r="H13">
        <f>ROUND(TAN(RADIANS(CSV_Import!E11))*((Auswertung!$C$7/2)*100-Auswertung!$C$8),3)</f>
        <v>0</v>
      </c>
      <c r="I13">
        <f>ROUND(TAN(RADIANS(CSV_Import!V11))*((Auswertung!$C$7/2)*100-Auswertung!$C$8),3)</f>
        <v>0</v>
      </c>
      <c r="K13">
        <f>(CSV_Import!$N$2-CSV_Import!N11)</f>
        <v>0</v>
      </c>
      <c r="L13">
        <f>(CSV_Import!$AE$2-CSV_Import!AE11)</f>
        <v>0</v>
      </c>
    </row>
    <row r="14" spans="1:16" x14ac:dyDescent="0.3">
      <c r="B14">
        <f>(CSV_Import!G12-CSV_Import!$G$2)/1000</f>
        <v>0</v>
      </c>
      <c r="D14">
        <f>ROUND(TAN(RADIANS(CSV_Import!D12))*((Auswertung!$C$7*100)/2-Auswertung!$C$8),3)</f>
        <v>0</v>
      </c>
      <c r="E14">
        <f>ROUND(TAN(RADIANS(CSV_Import!U12))*((Auswertung!$C$7/2)*100-Auswertung!$C$8),3)</f>
        <v>0</v>
      </c>
      <c r="F14">
        <f>ROUND(TAN(RADIANS(CSV_Import!B12))*((Auswertung!$C$7/2)*100-Auswertung!$C$8),3)</f>
        <v>0</v>
      </c>
      <c r="G14">
        <f>ROUND(TAN(RADIANS(CSV_Import!S12))*((Auswertung!$C$7/2)*100-Auswertung!$C$8),3)</f>
        <v>0</v>
      </c>
      <c r="H14">
        <f>ROUND(TAN(RADIANS(CSV_Import!E12))*((Auswertung!$C$7/2)*100-Auswertung!$C$8),3)</f>
        <v>0</v>
      </c>
      <c r="I14">
        <f>ROUND(TAN(RADIANS(CSV_Import!V12))*((Auswertung!$C$7/2)*100-Auswertung!$C$8),3)</f>
        <v>0</v>
      </c>
      <c r="K14">
        <f>(CSV_Import!$N$2-CSV_Import!N12)</f>
        <v>0</v>
      </c>
      <c r="L14">
        <f>(CSV_Import!$AE$2-CSV_Import!AE12)</f>
        <v>0</v>
      </c>
    </row>
    <row r="15" spans="1:16" x14ac:dyDescent="0.3">
      <c r="B15">
        <f>(CSV_Import!G13-CSV_Import!$G$2)/1000</f>
        <v>0</v>
      </c>
      <c r="D15">
        <f>ROUND(TAN(RADIANS(CSV_Import!D13))*((Auswertung!$C$7*100)/2-Auswertung!$C$8),3)</f>
        <v>0</v>
      </c>
      <c r="E15">
        <f>ROUND(TAN(RADIANS(CSV_Import!U13))*((Auswertung!$C$7/2)*100-Auswertung!$C$8),3)</f>
        <v>0</v>
      </c>
      <c r="F15">
        <f>ROUND(TAN(RADIANS(CSV_Import!B13))*((Auswertung!$C$7/2)*100-Auswertung!$C$8),3)</f>
        <v>0</v>
      </c>
      <c r="G15">
        <f>ROUND(TAN(RADIANS(CSV_Import!S13))*((Auswertung!$C$7/2)*100-Auswertung!$C$8),3)</f>
        <v>0</v>
      </c>
      <c r="H15">
        <f>ROUND(TAN(RADIANS(CSV_Import!E13))*((Auswertung!$C$7/2)*100-Auswertung!$C$8),3)</f>
        <v>0</v>
      </c>
      <c r="I15">
        <f>ROUND(TAN(RADIANS(CSV_Import!V13))*((Auswertung!$C$7/2)*100-Auswertung!$C$8),3)</f>
        <v>0</v>
      </c>
      <c r="K15">
        <f>(CSV_Import!$N$2-CSV_Import!N13)</f>
        <v>0</v>
      </c>
      <c r="L15">
        <f>(CSV_Import!$AE$2-CSV_Import!AE13)</f>
        <v>0</v>
      </c>
    </row>
    <row r="16" spans="1:16" x14ac:dyDescent="0.3">
      <c r="B16">
        <f>(CSV_Import!G14-CSV_Import!$G$2)/1000</f>
        <v>0</v>
      </c>
      <c r="D16">
        <f>ROUND(TAN(RADIANS(CSV_Import!D14))*((Auswertung!$C$7*100)/2-Auswertung!$C$8),3)</f>
        <v>0</v>
      </c>
      <c r="E16">
        <f>ROUND(TAN(RADIANS(CSV_Import!U14))*((Auswertung!$C$7/2)*100-Auswertung!$C$8),3)</f>
        <v>0</v>
      </c>
      <c r="F16">
        <f>ROUND(TAN(RADIANS(CSV_Import!B14))*((Auswertung!$C$7/2)*100-Auswertung!$C$8),3)</f>
        <v>0</v>
      </c>
      <c r="G16">
        <f>ROUND(TAN(RADIANS(CSV_Import!S14))*((Auswertung!$C$7/2)*100-Auswertung!$C$8),3)</f>
        <v>0</v>
      </c>
      <c r="H16">
        <f>ROUND(TAN(RADIANS(CSV_Import!E14))*((Auswertung!$C$7/2)*100-Auswertung!$C$8),3)</f>
        <v>0</v>
      </c>
      <c r="I16">
        <f>ROUND(TAN(RADIANS(CSV_Import!V14))*((Auswertung!$C$7/2)*100-Auswertung!$C$8),3)</f>
        <v>0</v>
      </c>
      <c r="K16">
        <f>(CSV_Import!$N$2-CSV_Import!N14)</f>
        <v>0</v>
      </c>
      <c r="L16">
        <f>(CSV_Import!$AE$2-CSV_Import!AE14)</f>
        <v>0</v>
      </c>
    </row>
    <row r="17" spans="2:12" x14ac:dyDescent="0.3">
      <c r="B17">
        <f>(CSV_Import!G15-CSV_Import!$G$2)/1000</f>
        <v>0</v>
      </c>
      <c r="D17">
        <f>ROUND(TAN(RADIANS(CSV_Import!D15))*((Auswertung!$C$7*100)/2-Auswertung!$C$8),3)</f>
        <v>0</v>
      </c>
      <c r="E17">
        <f>ROUND(TAN(RADIANS(CSV_Import!U15))*((Auswertung!$C$7/2)*100-Auswertung!$C$8),3)</f>
        <v>0</v>
      </c>
      <c r="F17">
        <f>ROUND(TAN(RADIANS(CSV_Import!B15))*((Auswertung!$C$7/2)*100-Auswertung!$C$8),3)</f>
        <v>0</v>
      </c>
      <c r="G17">
        <f>ROUND(TAN(RADIANS(CSV_Import!S15))*((Auswertung!$C$7/2)*100-Auswertung!$C$8),3)</f>
        <v>0</v>
      </c>
      <c r="H17">
        <f>ROUND(TAN(RADIANS(CSV_Import!E15))*((Auswertung!$C$7/2)*100-Auswertung!$C$8),3)</f>
        <v>0</v>
      </c>
      <c r="I17">
        <f>ROUND(TAN(RADIANS(CSV_Import!V15))*((Auswertung!$C$7/2)*100-Auswertung!$C$8),3)</f>
        <v>0</v>
      </c>
      <c r="K17">
        <f>(CSV_Import!$N$2-CSV_Import!N15)</f>
        <v>0</v>
      </c>
      <c r="L17">
        <f>(CSV_Import!$AE$2-CSV_Import!AE15)</f>
        <v>0</v>
      </c>
    </row>
    <row r="18" spans="2:12" x14ac:dyDescent="0.3">
      <c r="B18">
        <f>(CSV_Import!G16-CSV_Import!$G$2)/1000</f>
        <v>0</v>
      </c>
      <c r="D18">
        <f>ROUND(TAN(RADIANS(CSV_Import!D16))*((Auswertung!$C$7*100)/2-Auswertung!$C$8),3)</f>
        <v>0</v>
      </c>
      <c r="E18">
        <f>ROUND(TAN(RADIANS(CSV_Import!U16))*((Auswertung!$C$7/2)*100-Auswertung!$C$8),3)</f>
        <v>0</v>
      </c>
      <c r="F18">
        <f>ROUND(TAN(RADIANS(CSV_Import!B16))*((Auswertung!$C$7/2)*100-Auswertung!$C$8),3)</f>
        <v>0</v>
      </c>
      <c r="G18">
        <f>ROUND(TAN(RADIANS(CSV_Import!S16))*((Auswertung!$C$7/2)*100-Auswertung!$C$8),3)</f>
        <v>0</v>
      </c>
      <c r="H18">
        <f>ROUND(TAN(RADIANS(CSV_Import!E16))*((Auswertung!$C$7/2)*100-Auswertung!$C$8),3)</f>
        <v>0</v>
      </c>
      <c r="I18">
        <f>ROUND(TAN(RADIANS(CSV_Import!V16))*((Auswertung!$C$7/2)*100-Auswertung!$C$8),3)</f>
        <v>0</v>
      </c>
      <c r="K18">
        <f>(CSV_Import!$N$2-CSV_Import!N16)</f>
        <v>0</v>
      </c>
      <c r="L18">
        <f>(CSV_Import!$AE$2-CSV_Import!AE16)</f>
        <v>0</v>
      </c>
    </row>
    <row r="19" spans="2:12" x14ac:dyDescent="0.3">
      <c r="B19">
        <f>(CSV_Import!G17-CSV_Import!$G$2)/1000</f>
        <v>0</v>
      </c>
      <c r="D19">
        <f>ROUND(TAN(RADIANS(CSV_Import!D17))*((Auswertung!$C$7*100)/2-Auswertung!$C$8),3)</f>
        <v>0</v>
      </c>
      <c r="E19">
        <f>ROUND(TAN(RADIANS(CSV_Import!U17))*((Auswertung!$C$7/2)*100-Auswertung!$C$8),3)</f>
        <v>0</v>
      </c>
      <c r="F19">
        <f>ROUND(TAN(RADIANS(CSV_Import!B17))*((Auswertung!$C$7/2)*100-Auswertung!$C$8),3)</f>
        <v>0</v>
      </c>
      <c r="G19">
        <f>ROUND(TAN(RADIANS(CSV_Import!S17))*((Auswertung!$C$7/2)*100-Auswertung!$C$8),3)</f>
        <v>0</v>
      </c>
      <c r="H19">
        <f>ROUND(TAN(RADIANS(CSV_Import!E17))*((Auswertung!$C$7/2)*100-Auswertung!$C$8),3)</f>
        <v>0</v>
      </c>
      <c r="I19">
        <f>ROUND(TAN(RADIANS(CSV_Import!V17))*((Auswertung!$C$7/2)*100-Auswertung!$C$8),3)</f>
        <v>0</v>
      </c>
      <c r="K19">
        <f>(CSV_Import!$N$2-CSV_Import!N17)</f>
        <v>0</v>
      </c>
      <c r="L19">
        <f>(CSV_Import!$AE$2-CSV_Import!AE17)</f>
        <v>0</v>
      </c>
    </row>
    <row r="20" spans="2:12" x14ac:dyDescent="0.3">
      <c r="B20">
        <f>(CSV_Import!G18-CSV_Import!$G$2)/1000</f>
        <v>0</v>
      </c>
      <c r="D20">
        <f>ROUND(TAN(RADIANS(CSV_Import!D18))*((Auswertung!$C$7*100)/2-Auswertung!$C$8),3)</f>
        <v>0</v>
      </c>
      <c r="E20">
        <f>ROUND(TAN(RADIANS(CSV_Import!U18))*((Auswertung!$C$7/2)*100-Auswertung!$C$8),3)</f>
        <v>0</v>
      </c>
      <c r="F20">
        <f>ROUND(TAN(RADIANS(CSV_Import!B18))*((Auswertung!$C$7/2)*100-Auswertung!$C$8),3)</f>
        <v>0</v>
      </c>
      <c r="G20">
        <f>ROUND(TAN(RADIANS(CSV_Import!S18))*((Auswertung!$C$7/2)*100-Auswertung!$C$8),3)</f>
        <v>0</v>
      </c>
      <c r="H20">
        <f>ROUND(TAN(RADIANS(CSV_Import!E18))*((Auswertung!$C$7/2)*100-Auswertung!$C$8),3)</f>
        <v>0</v>
      </c>
      <c r="I20">
        <f>ROUND(TAN(RADIANS(CSV_Import!V18))*((Auswertung!$C$7/2)*100-Auswertung!$C$8),3)</f>
        <v>0</v>
      </c>
      <c r="K20">
        <f>(CSV_Import!$N$2-CSV_Import!N18)</f>
        <v>0</v>
      </c>
      <c r="L20">
        <f>(CSV_Import!$AE$2-CSV_Import!AE18)</f>
        <v>0</v>
      </c>
    </row>
    <row r="21" spans="2:12" x14ac:dyDescent="0.3">
      <c r="B21">
        <f>(CSV_Import!G19-CSV_Import!$G$2)/1000</f>
        <v>0</v>
      </c>
      <c r="D21">
        <f>ROUND(TAN(RADIANS(CSV_Import!D19))*((Auswertung!$C$7*100)/2-Auswertung!$C$8),3)</f>
        <v>0</v>
      </c>
      <c r="E21">
        <f>ROUND(TAN(RADIANS(CSV_Import!U19))*((Auswertung!$C$7/2)*100-Auswertung!$C$8),3)</f>
        <v>0</v>
      </c>
      <c r="F21">
        <f>ROUND(TAN(RADIANS(CSV_Import!B19))*((Auswertung!$C$7/2)*100-Auswertung!$C$8),3)</f>
        <v>0</v>
      </c>
      <c r="G21">
        <f>ROUND(TAN(RADIANS(CSV_Import!S19))*((Auswertung!$C$7/2)*100-Auswertung!$C$8),3)</f>
        <v>0</v>
      </c>
      <c r="H21">
        <f>ROUND(TAN(RADIANS(CSV_Import!E19))*((Auswertung!$C$7/2)*100-Auswertung!$C$8),3)</f>
        <v>0</v>
      </c>
      <c r="I21">
        <f>ROUND(TAN(RADIANS(CSV_Import!V19))*((Auswertung!$C$7/2)*100-Auswertung!$C$8),3)</f>
        <v>0</v>
      </c>
      <c r="K21">
        <f>(CSV_Import!$N$2-CSV_Import!N19)</f>
        <v>0</v>
      </c>
      <c r="L21">
        <f>(CSV_Import!$AE$2-CSV_Import!AE19)</f>
        <v>0</v>
      </c>
    </row>
    <row r="22" spans="2:12" x14ac:dyDescent="0.3">
      <c r="B22">
        <f>(CSV_Import!G20-CSV_Import!$G$2)/1000</f>
        <v>0</v>
      </c>
      <c r="D22">
        <f>ROUND(TAN(RADIANS(CSV_Import!D20))*((Auswertung!$C$7*100)/2-Auswertung!$C$8),3)</f>
        <v>0</v>
      </c>
      <c r="E22">
        <f>ROUND(TAN(RADIANS(CSV_Import!U20))*((Auswertung!$C$7/2)*100-Auswertung!$C$8),3)</f>
        <v>0</v>
      </c>
      <c r="F22">
        <f>ROUND(TAN(RADIANS(CSV_Import!B20))*((Auswertung!$C$7/2)*100-Auswertung!$C$8),3)</f>
        <v>0</v>
      </c>
      <c r="G22">
        <f>ROUND(TAN(RADIANS(CSV_Import!S20))*((Auswertung!$C$7/2)*100-Auswertung!$C$8),3)</f>
        <v>0</v>
      </c>
      <c r="H22">
        <f>ROUND(TAN(RADIANS(CSV_Import!E20))*((Auswertung!$C$7/2)*100-Auswertung!$C$8),3)</f>
        <v>0</v>
      </c>
      <c r="I22">
        <f>ROUND(TAN(RADIANS(CSV_Import!V20))*((Auswertung!$C$7/2)*100-Auswertung!$C$8),3)</f>
        <v>0</v>
      </c>
      <c r="K22">
        <f>(CSV_Import!$N$2-CSV_Import!N20)</f>
        <v>0</v>
      </c>
      <c r="L22">
        <f>(CSV_Import!$AE$2-CSV_Import!AE20)</f>
        <v>0</v>
      </c>
    </row>
    <row r="23" spans="2:12" x14ac:dyDescent="0.3">
      <c r="B23">
        <f>(CSV_Import!G21-CSV_Import!$G$2)/1000</f>
        <v>0</v>
      </c>
      <c r="D23">
        <f>ROUND(TAN(RADIANS(CSV_Import!D21))*((Auswertung!$C$7*100)/2-Auswertung!$C$8),3)</f>
        <v>0</v>
      </c>
      <c r="E23">
        <f>ROUND(TAN(RADIANS(CSV_Import!U21))*((Auswertung!$C$7/2)*100-Auswertung!$C$8),3)</f>
        <v>0</v>
      </c>
      <c r="F23">
        <f>ROUND(TAN(RADIANS(CSV_Import!B21))*((Auswertung!$C$7/2)*100-Auswertung!$C$8),3)</f>
        <v>0</v>
      </c>
      <c r="G23">
        <f>ROUND(TAN(RADIANS(CSV_Import!S21))*((Auswertung!$C$7/2)*100-Auswertung!$C$8),3)</f>
        <v>0</v>
      </c>
      <c r="H23">
        <f>ROUND(TAN(RADIANS(CSV_Import!E21))*((Auswertung!$C$7/2)*100-Auswertung!$C$8),3)</f>
        <v>0</v>
      </c>
      <c r="I23">
        <f>ROUND(TAN(RADIANS(CSV_Import!V21))*((Auswertung!$C$7/2)*100-Auswertung!$C$8),3)</f>
        <v>0</v>
      </c>
      <c r="K23">
        <f>(CSV_Import!$N$2-CSV_Import!N21)</f>
        <v>0</v>
      </c>
      <c r="L23">
        <f>(CSV_Import!$AE$2-CSV_Import!AE21)</f>
        <v>0</v>
      </c>
    </row>
    <row r="24" spans="2:12" x14ac:dyDescent="0.3">
      <c r="B24">
        <f>(CSV_Import!G22-CSV_Import!$G$2)/1000</f>
        <v>0</v>
      </c>
      <c r="D24">
        <f>ROUND(TAN(RADIANS(CSV_Import!D22))*((Auswertung!$C$7*100)/2-Auswertung!$C$8),3)</f>
        <v>0</v>
      </c>
      <c r="E24">
        <f>ROUND(TAN(RADIANS(CSV_Import!U22))*((Auswertung!$C$7/2)*100-Auswertung!$C$8),3)</f>
        <v>0</v>
      </c>
      <c r="F24">
        <f>ROUND(TAN(RADIANS(CSV_Import!B22))*((Auswertung!$C$7/2)*100-Auswertung!$C$8),3)</f>
        <v>0</v>
      </c>
      <c r="G24">
        <f>ROUND(TAN(RADIANS(CSV_Import!S22))*((Auswertung!$C$7/2)*100-Auswertung!$C$8),3)</f>
        <v>0</v>
      </c>
      <c r="H24">
        <f>ROUND(TAN(RADIANS(CSV_Import!E22))*((Auswertung!$C$7/2)*100-Auswertung!$C$8),3)</f>
        <v>0</v>
      </c>
      <c r="I24">
        <f>ROUND(TAN(RADIANS(CSV_Import!V22))*((Auswertung!$C$7/2)*100-Auswertung!$C$8),3)</f>
        <v>0</v>
      </c>
      <c r="K24">
        <f>(CSV_Import!$N$2-CSV_Import!N22)</f>
        <v>0</v>
      </c>
      <c r="L24">
        <f>(CSV_Import!$AE$2-CSV_Import!AE22)</f>
        <v>0</v>
      </c>
    </row>
    <row r="25" spans="2:12" x14ac:dyDescent="0.3">
      <c r="B25">
        <f>(CSV_Import!G23-CSV_Import!$G$2)/1000</f>
        <v>0</v>
      </c>
      <c r="D25">
        <f>ROUND(TAN(RADIANS(CSV_Import!D23))*((Auswertung!$C$7*100)/2-Auswertung!$C$8),3)</f>
        <v>0</v>
      </c>
      <c r="E25">
        <f>ROUND(TAN(RADIANS(CSV_Import!U23))*((Auswertung!$C$7/2)*100-Auswertung!$C$8),3)</f>
        <v>0</v>
      </c>
      <c r="F25">
        <f>ROUND(TAN(RADIANS(CSV_Import!B23))*((Auswertung!$C$7/2)*100-Auswertung!$C$8),3)</f>
        <v>0</v>
      </c>
      <c r="G25">
        <f>ROUND(TAN(RADIANS(CSV_Import!S23))*((Auswertung!$C$7/2)*100-Auswertung!$C$8),3)</f>
        <v>0</v>
      </c>
      <c r="H25">
        <f>ROUND(TAN(RADIANS(CSV_Import!E23))*((Auswertung!$C$7/2)*100-Auswertung!$C$8),3)</f>
        <v>0</v>
      </c>
      <c r="I25">
        <f>ROUND(TAN(RADIANS(CSV_Import!V23))*((Auswertung!$C$7/2)*100-Auswertung!$C$8),3)</f>
        <v>0</v>
      </c>
      <c r="K25">
        <f>(CSV_Import!$N$2-CSV_Import!N23)</f>
        <v>0</v>
      </c>
      <c r="L25">
        <f>(CSV_Import!$AE$2-CSV_Import!AE23)</f>
        <v>0</v>
      </c>
    </row>
    <row r="26" spans="2:12" x14ac:dyDescent="0.3">
      <c r="B26">
        <f>(CSV_Import!G24-CSV_Import!$G$2)/1000</f>
        <v>0</v>
      </c>
      <c r="D26">
        <f>ROUND(TAN(RADIANS(CSV_Import!D24))*((Auswertung!$C$7*100)/2-Auswertung!$C$8),3)</f>
        <v>0</v>
      </c>
      <c r="E26">
        <f>ROUND(TAN(RADIANS(CSV_Import!U24))*((Auswertung!$C$7/2)*100-Auswertung!$C$8),3)</f>
        <v>0</v>
      </c>
      <c r="F26">
        <f>ROUND(TAN(RADIANS(CSV_Import!B24))*((Auswertung!$C$7/2)*100-Auswertung!$C$8),3)</f>
        <v>0</v>
      </c>
      <c r="G26">
        <f>ROUND(TAN(RADIANS(CSV_Import!S24))*((Auswertung!$C$7/2)*100-Auswertung!$C$8),3)</f>
        <v>0</v>
      </c>
      <c r="H26">
        <f>ROUND(TAN(RADIANS(CSV_Import!E24))*((Auswertung!$C$7/2)*100-Auswertung!$C$8),3)</f>
        <v>0</v>
      </c>
      <c r="I26">
        <f>ROUND(TAN(RADIANS(CSV_Import!V24))*((Auswertung!$C$7/2)*100-Auswertung!$C$8),3)</f>
        <v>0</v>
      </c>
      <c r="K26">
        <f>(CSV_Import!$N$2-CSV_Import!N24)</f>
        <v>0</v>
      </c>
      <c r="L26">
        <f>(CSV_Import!$AE$2-CSV_Import!AE24)</f>
        <v>0</v>
      </c>
    </row>
    <row r="27" spans="2:12" x14ac:dyDescent="0.3">
      <c r="B27">
        <f>(CSV_Import!G25-CSV_Import!$G$2)/1000</f>
        <v>0</v>
      </c>
      <c r="D27">
        <f>ROUND(TAN(RADIANS(CSV_Import!D25))*((Auswertung!$C$7*100)/2-Auswertung!$C$8),3)</f>
        <v>0</v>
      </c>
      <c r="E27">
        <f>ROUND(TAN(RADIANS(CSV_Import!U25))*((Auswertung!$C$7/2)*100-Auswertung!$C$8),3)</f>
        <v>0</v>
      </c>
      <c r="F27">
        <f>ROUND(TAN(RADIANS(CSV_Import!B25))*((Auswertung!$C$7/2)*100-Auswertung!$C$8),3)</f>
        <v>0</v>
      </c>
      <c r="G27">
        <f>ROUND(TAN(RADIANS(CSV_Import!S25))*((Auswertung!$C$7/2)*100-Auswertung!$C$8),3)</f>
        <v>0</v>
      </c>
      <c r="H27">
        <f>ROUND(TAN(RADIANS(CSV_Import!E25))*((Auswertung!$C$7/2)*100-Auswertung!$C$8),3)</f>
        <v>0</v>
      </c>
      <c r="I27">
        <f>ROUND(TAN(RADIANS(CSV_Import!V25))*((Auswertung!$C$7/2)*100-Auswertung!$C$8),3)</f>
        <v>0</v>
      </c>
      <c r="K27">
        <f>(CSV_Import!$N$2-CSV_Import!N25)</f>
        <v>0</v>
      </c>
      <c r="L27">
        <f>(CSV_Import!$AE$2-CSV_Import!AE25)</f>
        <v>0</v>
      </c>
    </row>
    <row r="28" spans="2:12" x14ac:dyDescent="0.3">
      <c r="B28">
        <f>(CSV_Import!G26-CSV_Import!$G$2)/1000</f>
        <v>0</v>
      </c>
      <c r="D28">
        <f>ROUND(TAN(RADIANS(CSV_Import!D26))*((Auswertung!$C$7*100)/2-Auswertung!$C$8),3)</f>
        <v>0</v>
      </c>
      <c r="E28">
        <f>ROUND(TAN(RADIANS(CSV_Import!U26))*((Auswertung!$C$7/2)*100-Auswertung!$C$8),3)</f>
        <v>0</v>
      </c>
      <c r="F28">
        <f>ROUND(TAN(RADIANS(CSV_Import!B26))*((Auswertung!$C$7/2)*100-Auswertung!$C$8),3)</f>
        <v>0</v>
      </c>
      <c r="G28">
        <f>ROUND(TAN(RADIANS(CSV_Import!S26))*((Auswertung!$C$7/2)*100-Auswertung!$C$8),3)</f>
        <v>0</v>
      </c>
      <c r="H28">
        <f>ROUND(TAN(RADIANS(CSV_Import!E26))*((Auswertung!$C$7/2)*100-Auswertung!$C$8),3)</f>
        <v>0</v>
      </c>
      <c r="I28">
        <f>ROUND(TAN(RADIANS(CSV_Import!V26))*((Auswertung!$C$7/2)*100-Auswertung!$C$8),3)</f>
        <v>0</v>
      </c>
      <c r="K28">
        <f>(CSV_Import!$N$2-CSV_Import!N26)</f>
        <v>0</v>
      </c>
      <c r="L28">
        <f>(CSV_Import!$AE$2-CSV_Import!AE26)</f>
        <v>0</v>
      </c>
    </row>
    <row r="29" spans="2:12" x14ac:dyDescent="0.3">
      <c r="B29">
        <f>(CSV_Import!G27-CSV_Import!$G$2)/1000</f>
        <v>0</v>
      </c>
      <c r="D29">
        <f>ROUND(TAN(RADIANS(CSV_Import!D27))*((Auswertung!$C$7*100)/2-Auswertung!$C$8),3)</f>
        <v>0</v>
      </c>
      <c r="E29">
        <f>ROUND(TAN(RADIANS(CSV_Import!U27))*((Auswertung!$C$7/2)*100-Auswertung!$C$8),3)</f>
        <v>0</v>
      </c>
      <c r="F29">
        <f>ROUND(TAN(RADIANS(CSV_Import!B27))*((Auswertung!$C$7/2)*100-Auswertung!$C$8),3)</f>
        <v>0</v>
      </c>
      <c r="G29">
        <f>ROUND(TAN(RADIANS(CSV_Import!S27))*((Auswertung!$C$7/2)*100-Auswertung!$C$8),3)</f>
        <v>0</v>
      </c>
      <c r="H29">
        <f>ROUND(TAN(RADIANS(CSV_Import!E27))*((Auswertung!$C$7/2)*100-Auswertung!$C$8),3)</f>
        <v>0</v>
      </c>
      <c r="I29">
        <f>ROUND(TAN(RADIANS(CSV_Import!V27))*((Auswertung!$C$7/2)*100-Auswertung!$C$8),3)</f>
        <v>0</v>
      </c>
      <c r="K29">
        <f>(CSV_Import!$N$2-CSV_Import!N27)</f>
        <v>0</v>
      </c>
      <c r="L29">
        <f>(CSV_Import!$AE$2-CSV_Import!AE27)</f>
        <v>0</v>
      </c>
    </row>
    <row r="30" spans="2:12" x14ac:dyDescent="0.3">
      <c r="B30">
        <f>(CSV_Import!G28-CSV_Import!$G$2)/1000</f>
        <v>0</v>
      </c>
      <c r="D30">
        <f>ROUND(TAN(RADIANS(CSV_Import!D28))*((Auswertung!$C$7*100)/2-Auswertung!$C$8),3)</f>
        <v>0</v>
      </c>
      <c r="E30">
        <f>ROUND(TAN(RADIANS(CSV_Import!U28))*((Auswertung!$C$7/2)*100-Auswertung!$C$8),3)</f>
        <v>0</v>
      </c>
      <c r="F30">
        <f>ROUND(TAN(RADIANS(CSV_Import!B28))*((Auswertung!$C$7/2)*100-Auswertung!$C$8),3)</f>
        <v>0</v>
      </c>
      <c r="G30">
        <f>ROUND(TAN(RADIANS(CSV_Import!S28))*((Auswertung!$C$7/2)*100-Auswertung!$C$8),3)</f>
        <v>0</v>
      </c>
      <c r="H30">
        <f>ROUND(TAN(RADIANS(CSV_Import!E28))*((Auswertung!$C$7/2)*100-Auswertung!$C$8),3)</f>
        <v>0</v>
      </c>
      <c r="I30">
        <f>ROUND(TAN(RADIANS(CSV_Import!V28))*((Auswertung!$C$7/2)*100-Auswertung!$C$8),3)</f>
        <v>0</v>
      </c>
      <c r="K30">
        <f>(CSV_Import!$N$2-CSV_Import!N28)</f>
        <v>0</v>
      </c>
      <c r="L30">
        <f>(CSV_Import!$AE$2-CSV_Import!AE28)</f>
        <v>0</v>
      </c>
    </row>
    <row r="31" spans="2:12" x14ac:dyDescent="0.3">
      <c r="B31">
        <f>(CSV_Import!G29-CSV_Import!$G$2)/1000</f>
        <v>0</v>
      </c>
      <c r="D31">
        <f>ROUND(TAN(RADIANS(CSV_Import!D29))*((Auswertung!$C$7*100)/2-Auswertung!$C$8),3)</f>
        <v>0</v>
      </c>
      <c r="E31">
        <f>ROUND(TAN(RADIANS(CSV_Import!U29))*((Auswertung!$C$7/2)*100-Auswertung!$C$8),3)</f>
        <v>0</v>
      </c>
      <c r="F31">
        <f>ROUND(TAN(RADIANS(CSV_Import!B29))*((Auswertung!$C$7/2)*100-Auswertung!$C$8),3)</f>
        <v>0</v>
      </c>
      <c r="G31">
        <f>ROUND(TAN(RADIANS(CSV_Import!S29))*((Auswertung!$C$7/2)*100-Auswertung!$C$8),3)</f>
        <v>0</v>
      </c>
      <c r="H31">
        <f>ROUND(TAN(RADIANS(CSV_Import!E29))*((Auswertung!$C$7/2)*100-Auswertung!$C$8),3)</f>
        <v>0</v>
      </c>
      <c r="I31">
        <f>ROUND(TAN(RADIANS(CSV_Import!V29))*((Auswertung!$C$7/2)*100-Auswertung!$C$8),3)</f>
        <v>0</v>
      </c>
      <c r="K31">
        <f>(CSV_Import!$N$2-CSV_Import!N29)</f>
        <v>0</v>
      </c>
      <c r="L31">
        <f>(CSV_Import!$AE$2-CSV_Import!AE29)</f>
        <v>0</v>
      </c>
    </row>
    <row r="32" spans="2:12" x14ac:dyDescent="0.3">
      <c r="B32">
        <f>(CSV_Import!G30-CSV_Import!$G$2)/1000</f>
        <v>0</v>
      </c>
      <c r="D32">
        <f>ROUND(TAN(RADIANS(CSV_Import!D30))*((Auswertung!$C$7*100)/2-Auswertung!$C$8),3)</f>
        <v>0</v>
      </c>
      <c r="E32">
        <f>ROUND(TAN(RADIANS(CSV_Import!U30))*((Auswertung!$C$7/2)*100-Auswertung!$C$8),3)</f>
        <v>0</v>
      </c>
      <c r="F32">
        <f>ROUND(TAN(RADIANS(CSV_Import!B30))*((Auswertung!$C$7/2)*100-Auswertung!$C$8),3)</f>
        <v>0</v>
      </c>
      <c r="G32">
        <f>ROUND(TAN(RADIANS(CSV_Import!S30))*((Auswertung!$C$7/2)*100-Auswertung!$C$8),3)</f>
        <v>0</v>
      </c>
      <c r="H32">
        <f>ROUND(TAN(RADIANS(CSV_Import!E30))*((Auswertung!$C$7/2)*100-Auswertung!$C$8),3)</f>
        <v>0</v>
      </c>
      <c r="I32">
        <f>ROUND(TAN(RADIANS(CSV_Import!V30))*((Auswertung!$C$7/2)*100-Auswertung!$C$8),3)</f>
        <v>0</v>
      </c>
      <c r="K32">
        <f>(CSV_Import!$N$2-CSV_Import!N30)</f>
        <v>0</v>
      </c>
      <c r="L32">
        <f>(CSV_Import!$AE$2-CSV_Import!AE30)</f>
        <v>0</v>
      </c>
    </row>
    <row r="33" spans="2:12" x14ac:dyDescent="0.3">
      <c r="B33">
        <f>(CSV_Import!G31-CSV_Import!$G$2)/1000</f>
        <v>0</v>
      </c>
      <c r="D33">
        <f>ROUND(TAN(RADIANS(CSV_Import!D31))*((Auswertung!$C$7*100)/2-Auswertung!$C$8),3)</f>
        <v>0</v>
      </c>
      <c r="E33">
        <f>ROUND(TAN(RADIANS(CSV_Import!U31))*((Auswertung!$C$7/2)*100-Auswertung!$C$8),3)</f>
        <v>0</v>
      </c>
      <c r="F33">
        <f>ROUND(TAN(RADIANS(CSV_Import!B31))*((Auswertung!$C$7/2)*100-Auswertung!$C$8),3)</f>
        <v>0</v>
      </c>
      <c r="G33">
        <f>ROUND(TAN(RADIANS(CSV_Import!S31))*((Auswertung!$C$7/2)*100-Auswertung!$C$8),3)</f>
        <v>0</v>
      </c>
      <c r="H33">
        <f>ROUND(TAN(RADIANS(CSV_Import!E31))*((Auswertung!$C$7/2)*100-Auswertung!$C$8),3)</f>
        <v>0</v>
      </c>
      <c r="I33">
        <f>ROUND(TAN(RADIANS(CSV_Import!V31))*((Auswertung!$C$7/2)*100-Auswertung!$C$8),3)</f>
        <v>0</v>
      </c>
      <c r="K33">
        <f>(CSV_Import!$N$2-CSV_Import!N31)</f>
        <v>0</v>
      </c>
      <c r="L33">
        <f>(CSV_Import!$AE$2-CSV_Import!AE31)</f>
        <v>0</v>
      </c>
    </row>
    <row r="34" spans="2:12" x14ac:dyDescent="0.3">
      <c r="B34">
        <f>(CSV_Import!G32-CSV_Import!$G$2)/1000</f>
        <v>0</v>
      </c>
      <c r="D34">
        <f>ROUND(TAN(RADIANS(CSV_Import!D32))*((Auswertung!$C$7*100)/2-Auswertung!$C$8),3)</f>
        <v>0</v>
      </c>
      <c r="E34">
        <f>ROUND(TAN(RADIANS(CSV_Import!U32))*((Auswertung!$C$7/2)*100-Auswertung!$C$8),3)</f>
        <v>0</v>
      </c>
      <c r="F34">
        <f>ROUND(TAN(RADIANS(CSV_Import!B32))*((Auswertung!$C$7/2)*100-Auswertung!$C$8),3)</f>
        <v>0</v>
      </c>
      <c r="G34">
        <f>ROUND(TAN(RADIANS(CSV_Import!S32))*((Auswertung!$C$7/2)*100-Auswertung!$C$8),3)</f>
        <v>0</v>
      </c>
      <c r="H34">
        <f>ROUND(TAN(RADIANS(CSV_Import!E32))*((Auswertung!$C$7/2)*100-Auswertung!$C$8),3)</f>
        <v>0</v>
      </c>
      <c r="I34">
        <f>ROUND(TAN(RADIANS(CSV_Import!V32))*((Auswertung!$C$7/2)*100-Auswertung!$C$8),3)</f>
        <v>0</v>
      </c>
      <c r="K34">
        <f>(CSV_Import!$N$2-CSV_Import!N32)</f>
        <v>0</v>
      </c>
      <c r="L34">
        <f>(CSV_Import!$AE$2-CSV_Import!AE32)</f>
        <v>0</v>
      </c>
    </row>
    <row r="35" spans="2:12" x14ac:dyDescent="0.3">
      <c r="B35">
        <f>(CSV_Import!G33-CSV_Import!$G$2)/1000</f>
        <v>0</v>
      </c>
      <c r="D35">
        <f>ROUND(TAN(RADIANS(CSV_Import!D33))*((Auswertung!$C$7*100)/2-Auswertung!$C$8),3)</f>
        <v>0</v>
      </c>
      <c r="E35">
        <f>ROUND(TAN(RADIANS(CSV_Import!U33))*((Auswertung!$C$7/2)*100-Auswertung!$C$8),3)</f>
        <v>0</v>
      </c>
      <c r="F35">
        <f>ROUND(TAN(RADIANS(CSV_Import!B33))*((Auswertung!$C$7/2)*100-Auswertung!$C$8),3)</f>
        <v>0</v>
      </c>
      <c r="G35">
        <f>ROUND(TAN(RADIANS(CSV_Import!S33))*((Auswertung!$C$7/2)*100-Auswertung!$C$8),3)</f>
        <v>0</v>
      </c>
      <c r="H35">
        <f>ROUND(TAN(RADIANS(CSV_Import!E33))*((Auswertung!$C$7/2)*100-Auswertung!$C$8),3)</f>
        <v>0</v>
      </c>
      <c r="I35">
        <f>ROUND(TAN(RADIANS(CSV_Import!V33))*((Auswertung!$C$7/2)*100-Auswertung!$C$8),3)</f>
        <v>0</v>
      </c>
      <c r="K35">
        <f>(CSV_Import!$N$2-CSV_Import!N33)</f>
        <v>0</v>
      </c>
      <c r="L35">
        <f>(CSV_Import!$AE$2-CSV_Import!AE33)</f>
        <v>0</v>
      </c>
    </row>
    <row r="36" spans="2:12" x14ac:dyDescent="0.3">
      <c r="B36">
        <f>(CSV_Import!G34-CSV_Import!$G$2)/1000</f>
        <v>0</v>
      </c>
      <c r="D36">
        <f>ROUND(TAN(RADIANS(CSV_Import!D34))*((Auswertung!$C$7*100)/2-Auswertung!$C$8),3)</f>
        <v>0</v>
      </c>
      <c r="E36">
        <f>ROUND(TAN(RADIANS(CSV_Import!U34))*((Auswertung!$C$7/2)*100-Auswertung!$C$8),3)</f>
        <v>0</v>
      </c>
      <c r="F36">
        <f>ROUND(TAN(RADIANS(CSV_Import!B34))*((Auswertung!$C$7/2)*100-Auswertung!$C$8),3)</f>
        <v>0</v>
      </c>
      <c r="G36">
        <f>ROUND(TAN(RADIANS(CSV_Import!S34))*((Auswertung!$C$7/2)*100-Auswertung!$C$8),3)</f>
        <v>0</v>
      </c>
      <c r="H36">
        <f>ROUND(TAN(RADIANS(CSV_Import!E34))*((Auswertung!$C$7/2)*100-Auswertung!$C$8),3)</f>
        <v>0</v>
      </c>
      <c r="I36">
        <f>ROUND(TAN(RADIANS(CSV_Import!V34))*((Auswertung!$C$7/2)*100-Auswertung!$C$8),3)</f>
        <v>0</v>
      </c>
      <c r="K36">
        <f>(CSV_Import!$N$2-CSV_Import!N34)</f>
        <v>0</v>
      </c>
      <c r="L36">
        <f>(CSV_Import!$AE$2-CSV_Import!AE34)</f>
        <v>0</v>
      </c>
    </row>
    <row r="37" spans="2:12" x14ac:dyDescent="0.3">
      <c r="B37">
        <f>(CSV_Import!G35-CSV_Import!$G$2)/1000</f>
        <v>0</v>
      </c>
      <c r="D37">
        <f>ROUND(TAN(RADIANS(CSV_Import!D35))*((Auswertung!$C$7*100)/2-Auswertung!$C$8),3)</f>
        <v>0</v>
      </c>
      <c r="E37">
        <f>ROUND(TAN(RADIANS(CSV_Import!U35))*((Auswertung!$C$7/2)*100-Auswertung!$C$8),3)</f>
        <v>0</v>
      </c>
      <c r="F37">
        <f>ROUND(TAN(RADIANS(CSV_Import!B35))*((Auswertung!$C$7/2)*100-Auswertung!$C$8),3)</f>
        <v>0</v>
      </c>
      <c r="G37">
        <f>ROUND(TAN(RADIANS(CSV_Import!S35))*((Auswertung!$C$7/2)*100-Auswertung!$C$8),3)</f>
        <v>0</v>
      </c>
      <c r="H37">
        <f>ROUND(TAN(RADIANS(CSV_Import!E35))*((Auswertung!$C$7/2)*100-Auswertung!$C$8),3)</f>
        <v>0</v>
      </c>
      <c r="I37">
        <f>ROUND(TAN(RADIANS(CSV_Import!V35))*((Auswertung!$C$7/2)*100-Auswertung!$C$8),3)</f>
        <v>0</v>
      </c>
      <c r="K37">
        <f>(CSV_Import!$N$2-CSV_Import!N35)</f>
        <v>0</v>
      </c>
      <c r="L37">
        <f>(CSV_Import!$AE$2-CSV_Import!AE35)</f>
        <v>0</v>
      </c>
    </row>
    <row r="38" spans="2:12" x14ac:dyDescent="0.3">
      <c r="B38">
        <f>(CSV_Import!G36-CSV_Import!$G$2)/1000</f>
        <v>0</v>
      </c>
      <c r="D38">
        <f>ROUND(TAN(RADIANS(CSV_Import!D36))*((Auswertung!$C$7*100)/2-Auswertung!$C$8),3)</f>
        <v>0</v>
      </c>
      <c r="E38">
        <f>ROUND(TAN(RADIANS(CSV_Import!U36))*((Auswertung!$C$7/2)*100-Auswertung!$C$8),3)</f>
        <v>0</v>
      </c>
      <c r="F38">
        <f>ROUND(TAN(RADIANS(CSV_Import!B36))*((Auswertung!$C$7/2)*100-Auswertung!$C$8),3)</f>
        <v>0</v>
      </c>
      <c r="G38">
        <f>ROUND(TAN(RADIANS(CSV_Import!S36))*((Auswertung!$C$7/2)*100-Auswertung!$C$8),3)</f>
        <v>0</v>
      </c>
      <c r="H38">
        <f>ROUND(TAN(RADIANS(CSV_Import!E36))*((Auswertung!$C$7/2)*100-Auswertung!$C$8),3)</f>
        <v>0</v>
      </c>
      <c r="I38">
        <f>ROUND(TAN(RADIANS(CSV_Import!V36))*((Auswertung!$C$7/2)*100-Auswertung!$C$8),3)</f>
        <v>0</v>
      </c>
      <c r="K38">
        <f>(CSV_Import!$N$2-CSV_Import!N36)</f>
        <v>0</v>
      </c>
      <c r="L38">
        <f>(CSV_Import!$AE$2-CSV_Import!AE36)</f>
        <v>0</v>
      </c>
    </row>
    <row r="39" spans="2:12" x14ac:dyDescent="0.3">
      <c r="B39">
        <f>(CSV_Import!G37-CSV_Import!$G$2)/1000</f>
        <v>0</v>
      </c>
      <c r="D39">
        <f>ROUND(TAN(RADIANS(CSV_Import!D37))*((Auswertung!$C$7*100)/2-Auswertung!$C$8),3)</f>
        <v>0</v>
      </c>
      <c r="E39">
        <f>ROUND(TAN(RADIANS(CSV_Import!U37))*((Auswertung!$C$7/2)*100-Auswertung!$C$8),3)</f>
        <v>0</v>
      </c>
      <c r="F39">
        <f>ROUND(TAN(RADIANS(CSV_Import!B37))*((Auswertung!$C$7/2)*100-Auswertung!$C$8),3)</f>
        <v>0</v>
      </c>
      <c r="G39">
        <f>ROUND(TAN(RADIANS(CSV_Import!S37))*((Auswertung!$C$7/2)*100-Auswertung!$C$8),3)</f>
        <v>0</v>
      </c>
      <c r="H39">
        <f>ROUND(TAN(RADIANS(CSV_Import!E37))*((Auswertung!$C$7/2)*100-Auswertung!$C$8),3)</f>
        <v>0</v>
      </c>
      <c r="I39">
        <f>ROUND(TAN(RADIANS(CSV_Import!V37))*((Auswertung!$C$7/2)*100-Auswertung!$C$8),3)</f>
        <v>0</v>
      </c>
      <c r="K39">
        <f>(CSV_Import!$N$2-CSV_Import!N37)</f>
        <v>0</v>
      </c>
      <c r="L39">
        <f>(CSV_Import!$AE$2-CSV_Import!AE37)</f>
        <v>0</v>
      </c>
    </row>
    <row r="40" spans="2:12" x14ac:dyDescent="0.3">
      <c r="B40">
        <f>(CSV_Import!G38-CSV_Import!$G$2)/1000</f>
        <v>0</v>
      </c>
      <c r="D40">
        <f>ROUND(TAN(RADIANS(CSV_Import!D38))*((Auswertung!$C$7*100)/2-Auswertung!$C$8),3)</f>
        <v>0</v>
      </c>
      <c r="E40">
        <f>ROUND(TAN(RADIANS(CSV_Import!U38))*((Auswertung!$C$7/2)*100-Auswertung!$C$8),3)</f>
        <v>0</v>
      </c>
      <c r="F40">
        <f>ROUND(TAN(RADIANS(CSV_Import!B38))*((Auswertung!$C$7/2)*100-Auswertung!$C$8),3)</f>
        <v>0</v>
      </c>
      <c r="G40">
        <f>ROUND(TAN(RADIANS(CSV_Import!S38))*((Auswertung!$C$7/2)*100-Auswertung!$C$8),3)</f>
        <v>0</v>
      </c>
      <c r="H40">
        <f>ROUND(TAN(RADIANS(CSV_Import!E38))*((Auswertung!$C$7/2)*100-Auswertung!$C$8),3)</f>
        <v>0</v>
      </c>
      <c r="I40">
        <f>ROUND(TAN(RADIANS(CSV_Import!V38))*((Auswertung!$C$7/2)*100-Auswertung!$C$8),3)</f>
        <v>0</v>
      </c>
      <c r="K40">
        <f>(CSV_Import!$N$2-CSV_Import!N38)</f>
        <v>0</v>
      </c>
      <c r="L40">
        <f>(CSV_Import!$AE$2-CSV_Import!AE38)</f>
        <v>0</v>
      </c>
    </row>
    <row r="41" spans="2:12" x14ac:dyDescent="0.3">
      <c r="B41">
        <f>(CSV_Import!G39-CSV_Import!$G$2)/1000</f>
        <v>0</v>
      </c>
      <c r="D41">
        <f>ROUND(TAN(RADIANS(CSV_Import!D39))*((Auswertung!$C$7*100)/2-Auswertung!$C$8),3)</f>
        <v>0</v>
      </c>
      <c r="E41">
        <f>ROUND(TAN(RADIANS(CSV_Import!U39))*((Auswertung!$C$7/2)*100-Auswertung!$C$8),3)</f>
        <v>0</v>
      </c>
      <c r="F41">
        <f>ROUND(TAN(RADIANS(CSV_Import!B39))*((Auswertung!$C$7/2)*100-Auswertung!$C$8),3)</f>
        <v>0</v>
      </c>
      <c r="G41">
        <f>ROUND(TAN(RADIANS(CSV_Import!S39))*((Auswertung!$C$7/2)*100-Auswertung!$C$8),3)</f>
        <v>0</v>
      </c>
      <c r="H41">
        <f>ROUND(TAN(RADIANS(CSV_Import!E39))*((Auswertung!$C$7/2)*100-Auswertung!$C$8),3)</f>
        <v>0</v>
      </c>
      <c r="I41">
        <f>ROUND(TAN(RADIANS(CSV_Import!V39))*((Auswertung!$C$7/2)*100-Auswertung!$C$8),3)</f>
        <v>0</v>
      </c>
      <c r="K41">
        <f>(CSV_Import!$N$2-CSV_Import!N39)</f>
        <v>0</v>
      </c>
      <c r="L41">
        <f>(CSV_Import!$AE$2-CSV_Import!AE39)</f>
        <v>0</v>
      </c>
    </row>
    <row r="42" spans="2:12" x14ac:dyDescent="0.3">
      <c r="B42">
        <f>(CSV_Import!G40-CSV_Import!$G$2)/1000</f>
        <v>0</v>
      </c>
      <c r="D42">
        <f>ROUND(TAN(RADIANS(CSV_Import!D40))*((Auswertung!$C$7*100)/2-Auswertung!$C$8),3)</f>
        <v>0</v>
      </c>
      <c r="E42">
        <f>ROUND(TAN(RADIANS(CSV_Import!U40))*((Auswertung!$C$7/2)*100-Auswertung!$C$8),3)</f>
        <v>0</v>
      </c>
      <c r="F42">
        <f>ROUND(TAN(RADIANS(CSV_Import!B40))*((Auswertung!$C$7/2)*100-Auswertung!$C$8),3)</f>
        <v>0</v>
      </c>
      <c r="G42">
        <f>ROUND(TAN(RADIANS(CSV_Import!S40))*((Auswertung!$C$7/2)*100-Auswertung!$C$8),3)</f>
        <v>0</v>
      </c>
      <c r="H42">
        <f>ROUND(TAN(RADIANS(CSV_Import!E40))*((Auswertung!$C$7/2)*100-Auswertung!$C$8),3)</f>
        <v>0</v>
      </c>
      <c r="I42">
        <f>ROUND(TAN(RADIANS(CSV_Import!V40))*((Auswertung!$C$7/2)*100-Auswertung!$C$8),3)</f>
        <v>0</v>
      </c>
      <c r="K42">
        <f>(CSV_Import!$N$2-CSV_Import!N40)</f>
        <v>0</v>
      </c>
      <c r="L42">
        <f>(CSV_Import!$AE$2-CSV_Import!AE40)</f>
        <v>0</v>
      </c>
    </row>
    <row r="43" spans="2:12" x14ac:dyDescent="0.3">
      <c r="B43">
        <f>(CSV_Import!G41-CSV_Import!$G$2)/1000</f>
        <v>0</v>
      </c>
      <c r="D43">
        <f>ROUND(TAN(RADIANS(CSV_Import!D41))*((Auswertung!$C$7*100)/2-Auswertung!$C$8),3)</f>
        <v>0</v>
      </c>
      <c r="E43">
        <f>ROUND(TAN(RADIANS(CSV_Import!U41))*((Auswertung!$C$7/2)*100-Auswertung!$C$8),3)</f>
        <v>0</v>
      </c>
      <c r="F43">
        <f>ROUND(TAN(RADIANS(CSV_Import!B41))*((Auswertung!$C$7/2)*100-Auswertung!$C$8),3)</f>
        <v>0</v>
      </c>
      <c r="G43">
        <f>ROUND(TAN(RADIANS(CSV_Import!S41))*((Auswertung!$C$7/2)*100-Auswertung!$C$8),3)</f>
        <v>0</v>
      </c>
      <c r="H43">
        <f>ROUND(TAN(RADIANS(CSV_Import!E41))*((Auswertung!$C$7/2)*100-Auswertung!$C$8),3)</f>
        <v>0</v>
      </c>
      <c r="I43">
        <f>ROUND(TAN(RADIANS(CSV_Import!V41))*((Auswertung!$C$7/2)*100-Auswertung!$C$8),3)</f>
        <v>0</v>
      </c>
      <c r="K43">
        <f>(CSV_Import!$N$2-CSV_Import!N41)</f>
        <v>0</v>
      </c>
      <c r="L43">
        <f>(CSV_Import!$AE$2-CSV_Import!AE41)</f>
        <v>0</v>
      </c>
    </row>
    <row r="44" spans="2:12" x14ac:dyDescent="0.3">
      <c r="B44">
        <f>(CSV_Import!G42-CSV_Import!$G$2)/1000</f>
        <v>0</v>
      </c>
      <c r="D44">
        <f>ROUND(TAN(RADIANS(CSV_Import!D42))*((Auswertung!$C$7*100)/2-Auswertung!$C$8),3)</f>
        <v>0</v>
      </c>
      <c r="E44">
        <f>ROUND(TAN(RADIANS(CSV_Import!U42))*((Auswertung!$C$7/2)*100-Auswertung!$C$8),3)</f>
        <v>0</v>
      </c>
      <c r="F44">
        <f>ROUND(TAN(RADIANS(CSV_Import!B42))*((Auswertung!$C$7/2)*100-Auswertung!$C$8),3)</f>
        <v>0</v>
      </c>
      <c r="G44">
        <f>ROUND(TAN(RADIANS(CSV_Import!S42))*((Auswertung!$C$7/2)*100-Auswertung!$C$8),3)</f>
        <v>0</v>
      </c>
      <c r="H44">
        <f>ROUND(TAN(RADIANS(CSV_Import!E42))*((Auswertung!$C$7/2)*100-Auswertung!$C$8),3)</f>
        <v>0</v>
      </c>
      <c r="I44">
        <f>ROUND(TAN(RADIANS(CSV_Import!V42))*((Auswertung!$C$7/2)*100-Auswertung!$C$8),3)</f>
        <v>0</v>
      </c>
      <c r="K44">
        <f>(CSV_Import!$N$2-CSV_Import!N42)</f>
        <v>0</v>
      </c>
      <c r="L44">
        <f>(CSV_Import!$AE$2-CSV_Import!AE42)</f>
        <v>0</v>
      </c>
    </row>
    <row r="45" spans="2:12" x14ac:dyDescent="0.3">
      <c r="B45">
        <f>(CSV_Import!G43-CSV_Import!$G$2)/1000</f>
        <v>0</v>
      </c>
      <c r="D45">
        <f>ROUND(TAN(RADIANS(CSV_Import!D43))*((Auswertung!$C$7*100)/2-Auswertung!$C$8),3)</f>
        <v>0</v>
      </c>
      <c r="E45">
        <f>ROUND(TAN(RADIANS(CSV_Import!U43))*((Auswertung!$C$7/2)*100-Auswertung!$C$8),3)</f>
        <v>0</v>
      </c>
      <c r="F45">
        <f>ROUND(TAN(RADIANS(CSV_Import!B43))*((Auswertung!$C$7/2)*100-Auswertung!$C$8),3)</f>
        <v>0</v>
      </c>
      <c r="G45">
        <f>ROUND(TAN(RADIANS(CSV_Import!S43))*((Auswertung!$C$7/2)*100-Auswertung!$C$8),3)</f>
        <v>0</v>
      </c>
      <c r="H45">
        <f>ROUND(TAN(RADIANS(CSV_Import!E43))*((Auswertung!$C$7/2)*100-Auswertung!$C$8),3)</f>
        <v>0</v>
      </c>
      <c r="I45">
        <f>ROUND(TAN(RADIANS(CSV_Import!V43))*((Auswertung!$C$7/2)*100-Auswertung!$C$8),3)</f>
        <v>0</v>
      </c>
      <c r="K45">
        <f>(CSV_Import!$N$2-CSV_Import!N43)</f>
        <v>0</v>
      </c>
      <c r="L45">
        <f>(CSV_Import!$AE$2-CSV_Import!AE43)</f>
        <v>0</v>
      </c>
    </row>
    <row r="46" spans="2:12" x14ac:dyDescent="0.3">
      <c r="B46">
        <f>(CSV_Import!G44-CSV_Import!$G$2)/1000</f>
        <v>0</v>
      </c>
      <c r="D46">
        <f>ROUND(TAN(RADIANS(CSV_Import!D44))*((Auswertung!$C$7*100)/2-Auswertung!$C$8),3)</f>
        <v>0</v>
      </c>
      <c r="E46">
        <f>ROUND(TAN(RADIANS(CSV_Import!U44))*((Auswertung!$C$7/2)*100-Auswertung!$C$8),3)</f>
        <v>0</v>
      </c>
      <c r="F46">
        <f>ROUND(TAN(RADIANS(CSV_Import!B44))*((Auswertung!$C$7/2)*100-Auswertung!$C$8),3)</f>
        <v>0</v>
      </c>
      <c r="G46">
        <f>ROUND(TAN(RADIANS(CSV_Import!S44))*((Auswertung!$C$7/2)*100-Auswertung!$C$8),3)</f>
        <v>0</v>
      </c>
      <c r="H46">
        <f>ROUND(TAN(RADIANS(CSV_Import!E44))*((Auswertung!$C$7/2)*100-Auswertung!$C$8),3)</f>
        <v>0</v>
      </c>
      <c r="I46">
        <f>ROUND(TAN(RADIANS(CSV_Import!V44))*((Auswertung!$C$7/2)*100-Auswertung!$C$8),3)</f>
        <v>0</v>
      </c>
      <c r="K46">
        <f>(CSV_Import!$N$2-CSV_Import!N44)</f>
        <v>0</v>
      </c>
      <c r="L46">
        <f>(CSV_Import!$AE$2-CSV_Import!AE44)</f>
        <v>0</v>
      </c>
    </row>
    <row r="47" spans="2:12" x14ac:dyDescent="0.3">
      <c r="B47">
        <f>(CSV_Import!G45-CSV_Import!$G$2)/1000</f>
        <v>0</v>
      </c>
      <c r="D47">
        <f>ROUND(TAN(RADIANS(CSV_Import!D45))*((Auswertung!$C$7*100)/2-Auswertung!$C$8),3)</f>
        <v>0</v>
      </c>
      <c r="E47">
        <f>ROUND(TAN(RADIANS(CSV_Import!U45))*((Auswertung!$C$7/2)*100-Auswertung!$C$8),3)</f>
        <v>0</v>
      </c>
      <c r="F47">
        <f>ROUND(TAN(RADIANS(CSV_Import!B45))*((Auswertung!$C$7/2)*100-Auswertung!$C$8),3)</f>
        <v>0</v>
      </c>
      <c r="G47">
        <f>ROUND(TAN(RADIANS(CSV_Import!S45))*((Auswertung!$C$7/2)*100-Auswertung!$C$8),3)</f>
        <v>0</v>
      </c>
      <c r="H47">
        <f>ROUND(TAN(RADIANS(CSV_Import!E45))*((Auswertung!$C$7/2)*100-Auswertung!$C$8),3)</f>
        <v>0</v>
      </c>
      <c r="I47">
        <f>ROUND(TAN(RADIANS(CSV_Import!V45))*((Auswertung!$C$7/2)*100-Auswertung!$C$8),3)</f>
        <v>0</v>
      </c>
      <c r="K47">
        <f>(CSV_Import!$N$2-CSV_Import!N45)</f>
        <v>0</v>
      </c>
      <c r="L47">
        <f>(CSV_Import!$AE$2-CSV_Import!AE45)</f>
        <v>0</v>
      </c>
    </row>
    <row r="48" spans="2:12" x14ac:dyDescent="0.3">
      <c r="B48">
        <f>(CSV_Import!G46-CSV_Import!$G$2)/1000</f>
        <v>0</v>
      </c>
      <c r="D48">
        <f>ROUND(TAN(RADIANS(CSV_Import!D46))*((Auswertung!$C$7*100)/2-Auswertung!$C$8),3)</f>
        <v>0</v>
      </c>
      <c r="E48">
        <f>ROUND(TAN(RADIANS(CSV_Import!U46))*((Auswertung!$C$7/2)*100-Auswertung!$C$8),3)</f>
        <v>0</v>
      </c>
      <c r="F48">
        <f>ROUND(TAN(RADIANS(CSV_Import!B46))*((Auswertung!$C$7/2)*100-Auswertung!$C$8),3)</f>
        <v>0</v>
      </c>
      <c r="G48">
        <f>ROUND(TAN(RADIANS(CSV_Import!S46))*((Auswertung!$C$7/2)*100-Auswertung!$C$8),3)</f>
        <v>0</v>
      </c>
      <c r="H48">
        <f>ROUND(TAN(RADIANS(CSV_Import!E46))*((Auswertung!$C$7/2)*100-Auswertung!$C$8),3)</f>
        <v>0</v>
      </c>
      <c r="I48">
        <f>ROUND(TAN(RADIANS(CSV_Import!V46))*((Auswertung!$C$7/2)*100-Auswertung!$C$8),3)</f>
        <v>0</v>
      </c>
      <c r="K48">
        <f>(CSV_Import!$N$2-CSV_Import!N46)</f>
        <v>0</v>
      </c>
      <c r="L48">
        <f>(CSV_Import!$AE$2-CSV_Import!AE46)</f>
        <v>0</v>
      </c>
    </row>
    <row r="49" spans="2:12" x14ac:dyDescent="0.3">
      <c r="B49">
        <f>(CSV_Import!G47-CSV_Import!$G$2)/1000</f>
        <v>0</v>
      </c>
      <c r="D49">
        <f>ROUND(TAN(RADIANS(CSV_Import!D47))*((Auswertung!$C$7*100)/2-Auswertung!$C$8),3)</f>
        <v>0</v>
      </c>
      <c r="E49">
        <f>ROUND(TAN(RADIANS(CSV_Import!U47))*((Auswertung!$C$7/2)*100-Auswertung!$C$8),3)</f>
        <v>0</v>
      </c>
      <c r="F49">
        <f>ROUND(TAN(RADIANS(CSV_Import!B47))*((Auswertung!$C$7/2)*100-Auswertung!$C$8),3)</f>
        <v>0</v>
      </c>
      <c r="G49">
        <f>ROUND(TAN(RADIANS(CSV_Import!S47))*((Auswertung!$C$7/2)*100-Auswertung!$C$8),3)</f>
        <v>0</v>
      </c>
      <c r="H49">
        <f>ROUND(TAN(RADIANS(CSV_Import!E47))*((Auswertung!$C$7/2)*100-Auswertung!$C$8),3)</f>
        <v>0</v>
      </c>
      <c r="I49">
        <f>ROUND(TAN(RADIANS(CSV_Import!V47))*((Auswertung!$C$7/2)*100-Auswertung!$C$8),3)</f>
        <v>0</v>
      </c>
      <c r="K49">
        <f>(CSV_Import!$N$2-CSV_Import!N47)</f>
        <v>0</v>
      </c>
      <c r="L49">
        <f>(CSV_Import!$AE$2-CSV_Import!AE47)</f>
        <v>0</v>
      </c>
    </row>
    <row r="50" spans="2:12" x14ac:dyDescent="0.3">
      <c r="B50">
        <f>(CSV_Import!G48-CSV_Import!$G$2)/1000</f>
        <v>0</v>
      </c>
      <c r="D50">
        <f>ROUND(TAN(RADIANS(CSV_Import!D48))*((Auswertung!$C$7*100)/2-Auswertung!$C$8),3)</f>
        <v>0</v>
      </c>
      <c r="E50">
        <f>ROUND(TAN(RADIANS(CSV_Import!U48))*((Auswertung!$C$7/2)*100-Auswertung!$C$8),3)</f>
        <v>0</v>
      </c>
      <c r="F50">
        <f>ROUND(TAN(RADIANS(CSV_Import!B48))*((Auswertung!$C$7/2)*100-Auswertung!$C$8),3)</f>
        <v>0</v>
      </c>
      <c r="G50">
        <f>ROUND(TAN(RADIANS(CSV_Import!S48))*((Auswertung!$C$7/2)*100-Auswertung!$C$8),3)</f>
        <v>0</v>
      </c>
      <c r="H50">
        <f>ROUND(TAN(RADIANS(CSV_Import!E48))*((Auswertung!$C$7/2)*100-Auswertung!$C$8),3)</f>
        <v>0</v>
      </c>
      <c r="I50">
        <f>ROUND(TAN(RADIANS(CSV_Import!V48))*((Auswertung!$C$7/2)*100-Auswertung!$C$8),3)</f>
        <v>0</v>
      </c>
      <c r="K50">
        <f>(CSV_Import!$N$2-CSV_Import!N48)</f>
        <v>0</v>
      </c>
      <c r="L50">
        <f>(CSV_Import!$AE$2-CSV_Import!AE48)</f>
        <v>0</v>
      </c>
    </row>
    <row r="51" spans="2:12" x14ac:dyDescent="0.3">
      <c r="B51">
        <f>(CSV_Import!G49-CSV_Import!$G$2)/1000</f>
        <v>0</v>
      </c>
      <c r="D51">
        <f>ROUND(TAN(RADIANS(CSV_Import!D49))*((Auswertung!$C$7*100)/2-Auswertung!$C$8),3)</f>
        <v>0</v>
      </c>
      <c r="E51">
        <f>ROUND(TAN(RADIANS(CSV_Import!U49))*((Auswertung!$C$7/2)*100-Auswertung!$C$8),3)</f>
        <v>0</v>
      </c>
      <c r="F51">
        <f>ROUND(TAN(RADIANS(CSV_Import!B49))*((Auswertung!$C$7/2)*100-Auswertung!$C$8),3)</f>
        <v>0</v>
      </c>
      <c r="G51">
        <f>ROUND(TAN(RADIANS(CSV_Import!S49))*((Auswertung!$C$7/2)*100-Auswertung!$C$8),3)</f>
        <v>0</v>
      </c>
      <c r="H51">
        <f>ROUND(TAN(RADIANS(CSV_Import!E49))*((Auswertung!$C$7/2)*100-Auswertung!$C$8),3)</f>
        <v>0</v>
      </c>
      <c r="I51">
        <f>ROUND(TAN(RADIANS(CSV_Import!V49))*((Auswertung!$C$7/2)*100-Auswertung!$C$8),3)</f>
        <v>0</v>
      </c>
      <c r="K51">
        <f>(CSV_Import!$N$2-CSV_Import!N49)</f>
        <v>0</v>
      </c>
      <c r="L51">
        <f>(CSV_Import!$AE$2-CSV_Import!AE49)</f>
        <v>0</v>
      </c>
    </row>
    <row r="52" spans="2:12" x14ac:dyDescent="0.3">
      <c r="B52">
        <f>(CSV_Import!G50-CSV_Import!$G$2)/1000</f>
        <v>0</v>
      </c>
      <c r="D52">
        <f>ROUND(TAN(RADIANS(CSV_Import!D50))*((Auswertung!$C$7*100)/2-Auswertung!$C$8),3)</f>
        <v>0</v>
      </c>
      <c r="E52">
        <f>ROUND(TAN(RADIANS(CSV_Import!U50))*((Auswertung!$C$7/2)*100-Auswertung!$C$8),3)</f>
        <v>0</v>
      </c>
      <c r="F52">
        <f>ROUND(TAN(RADIANS(CSV_Import!B50))*((Auswertung!$C$7/2)*100-Auswertung!$C$8),3)</f>
        <v>0</v>
      </c>
      <c r="G52">
        <f>ROUND(TAN(RADIANS(CSV_Import!S50))*((Auswertung!$C$7/2)*100-Auswertung!$C$8),3)</f>
        <v>0</v>
      </c>
      <c r="H52">
        <f>ROUND(TAN(RADIANS(CSV_Import!E50))*((Auswertung!$C$7/2)*100-Auswertung!$C$8),3)</f>
        <v>0</v>
      </c>
      <c r="I52">
        <f>ROUND(TAN(RADIANS(CSV_Import!V50))*((Auswertung!$C$7/2)*100-Auswertung!$C$8),3)</f>
        <v>0</v>
      </c>
      <c r="K52">
        <f>(CSV_Import!$N$2-CSV_Import!N50)</f>
        <v>0</v>
      </c>
      <c r="L52">
        <f>(CSV_Import!$AE$2-CSV_Import!AE50)</f>
        <v>0</v>
      </c>
    </row>
    <row r="53" spans="2:12" x14ac:dyDescent="0.3">
      <c r="B53">
        <f>(CSV_Import!G51-CSV_Import!$G$2)/1000</f>
        <v>0</v>
      </c>
      <c r="D53">
        <f>ROUND(TAN(RADIANS(CSV_Import!D51))*((Auswertung!$C$7*100)/2-Auswertung!$C$8),3)</f>
        <v>0</v>
      </c>
      <c r="E53">
        <f>ROUND(TAN(RADIANS(CSV_Import!U51))*((Auswertung!$C$7/2)*100-Auswertung!$C$8),3)</f>
        <v>0</v>
      </c>
      <c r="F53">
        <f>ROUND(TAN(RADIANS(CSV_Import!B51))*((Auswertung!$C$7/2)*100-Auswertung!$C$8),3)</f>
        <v>0</v>
      </c>
      <c r="G53">
        <f>ROUND(TAN(RADIANS(CSV_Import!S51))*((Auswertung!$C$7/2)*100-Auswertung!$C$8),3)</f>
        <v>0</v>
      </c>
      <c r="H53">
        <f>ROUND(TAN(RADIANS(CSV_Import!E51))*((Auswertung!$C$7/2)*100-Auswertung!$C$8),3)</f>
        <v>0</v>
      </c>
      <c r="I53">
        <f>ROUND(TAN(RADIANS(CSV_Import!V51))*((Auswertung!$C$7/2)*100-Auswertung!$C$8),3)</f>
        <v>0</v>
      </c>
      <c r="K53">
        <f>(CSV_Import!$N$2-CSV_Import!N51)</f>
        <v>0</v>
      </c>
      <c r="L53">
        <f>(CSV_Import!$AE$2-CSV_Import!AE51)</f>
        <v>0</v>
      </c>
    </row>
    <row r="54" spans="2:12" x14ac:dyDescent="0.3">
      <c r="B54">
        <f>(CSV_Import!G52-CSV_Import!$G$2)/1000</f>
        <v>0</v>
      </c>
      <c r="D54">
        <f>ROUND(TAN(RADIANS(CSV_Import!D52))*((Auswertung!$C$7*100)/2-Auswertung!$C$8),3)</f>
        <v>0</v>
      </c>
      <c r="E54">
        <f>ROUND(TAN(RADIANS(CSV_Import!U52))*((Auswertung!$C$7/2)*100-Auswertung!$C$8),3)</f>
        <v>0</v>
      </c>
      <c r="F54">
        <f>ROUND(TAN(RADIANS(CSV_Import!B52))*((Auswertung!$C$7/2)*100-Auswertung!$C$8),3)</f>
        <v>0</v>
      </c>
      <c r="G54">
        <f>ROUND(TAN(RADIANS(CSV_Import!S52))*((Auswertung!$C$7/2)*100-Auswertung!$C$8),3)</f>
        <v>0</v>
      </c>
      <c r="H54">
        <f>ROUND(TAN(RADIANS(CSV_Import!E52))*((Auswertung!$C$7/2)*100-Auswertung!$C$8),3)</f>
        <v>0</v>
      </c>
      <c r="I54">
        <f>ROUND(TAN(RADIANS(CSV_Import!V52))*((Auswertung!$C$7/2)*100-Auswertung!$C$8),3)</f>
        <v>0</v>
      </c>
      <c r="K54">
        <f>(CSV_Import!$N$2-CSV_Import!N52)</f>
        <v>0</v>
      </c>
      <c r="L54">
        <f>(CSV_Import!$AE$2-CSV_Import!AE52)</f>
        <v>0</v>
      </c>
    </row>
    <row r="55" spans="2:12" x14ac:dyDescent="0.3">
      <c r="B55">
        <f>(CSV_Import!G53-CSV_Import!$G$2)/1000</f>
        <v>0</v>
      </c>
      <c r="D55">
        <f>ROUND(TAN(RADIANS(CSV_Import!D53))*((Auswertung!$C$7*100)/2-Auswertung!$C$8),3)</f>
        <v>0</v>
      </c>
      <c r="E55">
        <f>ROUND(TAN(RADIANS(CSV_Import!U53))*((Auswertung!$C$7/2)*100-Auswertung!$C$8),3)</f>
        <v>0</v>
      </c>
      <c r="F55">
        <f>ROUND(TAN(RADIANS(CSV_Import!B53))*((Auswertung!$C$7/2)*100-Auswertung!$C$8),3)</f>
        <v>0</v>
      </c>
      <c r="G55">
        <f>ROUND(TAN(RADIANS(CSV_Import!S53))*((Auswertung!$C$7/2)*100-Auswertung!$C$8),3)</f>
        <v>0</v>
      </c>
      <c r="H55">
        <f>ROUND(TAN(RADIANS(CSV_Import!E53))*((Auswertung!$C$7/2)*100-Auswertung!$C$8),3)</f>
        <v>0</v>
      </c>
      <c r="I55">
        <f>ROUND(TAN(RADIANS(CSV_Import!V53))*((Auswertung!$C$7/2)*100-Auswertung!$C$8),3)</f>
        <v>0</v>
      </c>
      <c r="K55">
        <f>(CSV_Import!$N$2-CSV_Import!N53)</f>
        <v>0</v>
      </c>
      <c r="L55">
        <f>(CSV_Import!$AE$2-CSV_Import!AE53)</f>
        <v>0</v>
      </c>
    </row>
    <row r="56" spans="2:12" x14ac:dyDescent="0.3">
      <c r="B56">
        <f>(CSV_Import!G54-CSV_Import!$G$2)/1000</f>
        <v>0</v>
      </c>
      <c r="D56">
        <f>ROUND(TAN(RADIANS(CSV_Import!D54))*((Auswertung!$C$7*100)/2-Auswertung!$C$8),3)</f>
        <v>0</v>
      </c>
      <c r="E56">
        <f>ROUND(TAN(RADIANS(CSV_Import!U54))*((Auswertung!$C$7/2)*100-Auswertung!$C$8),3)</f>
        <v>0</v>
      </c>
      <c r="F56">
        <f>ROUND(TAN(RADIANS(CSV_Import!B54))*((Auswertung!$C$7/2)*100-Auswertung!$C$8),3)</f>
        <v>0</v>
      </c>
      <c r="G56">
        <f>ROUND(TAN(RADIANS(CSV_Import!S54))*((Auswertung!$C$7/2)*100-Auswertung!$C$8),3)</f>
        <v>0</v>
      </c>
      <c r="H56">
        <f>ROUND(TAN(RADIANS(CSV_Import!E54))*((Auswertung!$C$7/2)*100-Auswertung!$C$8),3)</f>
        <v>0</v>
      </c>
      <c r="I56">
        <f>ROUND(TAN(RADIANS(CSV_Import!V54))*((Auswertung!$C$7/2)*100-Auswertung!$C$8),3)</f>
        <v>0</v>
      </c>
      <c r="K56">
        <f>(CSV_Import!$N$2-CSV_Import!N54)</f>
        <v>0</v>
      </c>
      <c r="L56">
        <f>(CSV_Import!$AE$2-CSV_Import!AE54)</f>
        <v>0</v>
      </c>
    </row>
    <row r="57" spans="2:12" x14ac:dyDescent="0.3">
      <c r="B57">
        <f>(CSV_Import!G55-CSV_Import!$G$2)/1000</f>
        <v>0</v>
      </c>
      <c r="D57">
        <f>ROUND(TAN(RADIANS(CSV_Import!D55))*((Auswertung!$C$7*100)/2-Auswertung!$C$8),3)</f>
        <v>0</v>
      </c>
      <c r="E57">
        <f>ROUND(TAN(RADIANS(CSV_Import!U55))*((Auswertung!$C$7/2)*100-Auswertung!$C$8),3)</f>
        <v>0</v>
      </c>
      <c r="F57">
        <f>ROUND(TAN(RADIANS(CSV_Import!B55))*((Auswertung!$C$7/2)*100-Auswertung!$C$8),3)</f>
        <v>0</v>
      </c>
      <c r="G57">
        <f>ROUND(TAN(RADIANS(CSV_Import!S55))*((Auswertung!$C$7/2)*100-Auswertung!$C$8),3)</f>
        <v>0</v>
      </c>
      <c r="H57">
        <f>ROUND(TAN(RADIANS(CSV_Import!E55))*((Auswertung!$C$7/2)*100-Auswertung!$C$8),3)</f>
        <v>0</v>
      </c>
      <c r="I57">
        <f>ROUND(TAN(RADIANS(CSV_Import!V55))*((Auswertung!$C$7/2)*100-Auswertung!$C$8),3)</f>
        <v>0</v>
      </c>
      <c r="K57">
        <f>(CSV_Import!$N$2-CSV_Import!N55)</f>
        <v>0</v>
      </c>
      <c r="L57">
        <f>(CSV_Import!$AE$2-CSV_Import!AE55)</f>
        <v>0</v>
      </c>
    </row>
    <row r="58" spans="2:12" x14ac:dyDescent="0.3">
      <c r="B58">
        <f>(CSV_Import!G56-CSV_Import!$G$2)/1000</f>
        <v>0</v>
      </c>
      <c r="D58">
        <f>ROUND(TAN(RADIANS(CSV_Import!D56))*((Auswertung!$C$7*100)/2-Auswertung!$C$8),3)</f>
        <v>0</v>
      </c>
      <c r="E58">
        <f>ROUND(TAN(RADIANS(CSV_Import!U56))*((Auswertung!$C$7/2)*100-Auswertung!$C$8),3)</f>
        <v>0</v>
      </c>
      <c r="F58">
        <f>ROUND(TAN(RADIANS(CSV_Import!B56))*((Auswertung!$C$7/2)*100-Auswertung!$C$8),3)</f>
        <v>0</v>
      </c>
      <c r="G58">
        <f>ROUND(TAN(RADIANS(CSV_Import!S56))*((Auswertung!$C$7/2)*100-Auswertung!$C$8),3)</f>
        <v>0</v>
      </c>
      <c r="H58">
        <f>ROUND(TAN(RADIANS(CSV_Import!E56))*((Auswertung!$C$7/2)*100-Auswertung!$C$8),3)</f>
        <v>0</v>
      </c>
      <c r="I58">
        <f>ROUND(TAN(RADIANS(CSV_Import!V56))*((Auswertung!$C$7/2)*100-Auswertung!$C$8),3)</f>
        <v>0</v>
      </c>
      <c r="K58">
        <f>(CSV_Import!$N$2-CSV_Import!N56)</f>
        <v>0</v>
      </c>
      <c r="L58">
        <f>(CSV_Import!$AE$2-CSV_Import!AE56)</f>
        <v>0</v>
      </c>
    </row>
    <row r="59" spans="2:12" x14ac:dyDescent="0.3">
      <c r="B59">
        <f>(CSV_Import!G57-CSV_Import!$G$2)/1000</f>
        <v>0</v>
      </c>
      <c r="D59">
        <f>ROUND(TAN(RADIANS(CSV_Import!D57))*((Auswertung!$C$7*100)/2-Auswertung!$C$8),3)</f>
        <v>0</v>
      </c>
      <c r="E59">
        <f>ROUND(TAN(RADIANS(CSV_Import!U57))*((Auswertung!$C$7/2)*100-Auswertung!$C$8),3)</f>
        <v>0</v>
      </c>
      <c r="F59">
        <f>ROUND(TAN(RADIANS(CSV_Import!B57))*((Auswertung!$C$7/2)*100-Auswertung!$C$8),3)</f>
        <v>0</v>
      </c>
      <c r="G59">
        <f>ROUND(TAN(RADIANS(CSV_Import!S57))*((Auswertung!$C$7/2)*100-Auswertung!$C$8),3)</f>
        <v>0</v>
      </c>
      <c r="H59">
        <f>ROUND(TAN(RADIANS(CSV_Import!E57))*((Auswertung!$C$7/2)*100-Auswertung!$C$8),3)</f>
        <v>0</v>
      </c>
      <c r="I59">
        <f>ROUND(TAN(RADIANS(CSV_Import!V57))*((Auswertung!$C$7/2)*100-Auswertung!$C$8),3)</f>
        <v>0</v>
      </c>
      <c r="K59">
        <f>(CSV_Import!$N$2-CSV_Import!N57)</f>
        <v>0</v>
      </c>
      <c r="L59">
        <f>(CSV_Import!$AE$2-CSV_Import!AE57)</f>
        <v>0</v>
      </c>
    </row>
    <row r="60" spans="2:12" x14ac:dyDescent="0.3">
      <c r="B60">
        <f>(CSV_Import!G58-CSV_Import!$G$2)/1000</f>
        <v>0</v>
      </c>
      <c r="D60">
        <f>ROUND(TAN(RADIANS(CSV_Import!D58))*((Auswertung!$C$7*100)/2-Auswertung!$C$8),3)</f>
        <v>0</v>
      </c>
      <c r="E60">
        <f>ROUND(TAN(RADIANS(CSV_Import!U58))*((Auswertung!$C$7/2)*100-Auswertung!$C$8),3)</f>
        <v>0</v>
      </c>
      <c r="F60">
        <f>ROUND(TAN(RADIANS(CSV_Import!B58))*((Auswertung!$C$7/2)*100-Auswertung!$C$8),3)</f>
        <v>0</v>
      </c>
      <c r="G60">
        <f>ROUND(TAN(RADIANS(CSV_Import!S58))*((Auswertung!$C$7/2)*100-Auswertung!$C$8),3)</f>
        <v>0</v>
      </c>
      <c r="H60">
        <f>ROUND(TAN(RADIANS(CSV_Import!E58))*((Auswertung!$C$7/2)*100-Auswertung!$C$8),3)</f>
        <v>0</v>
      </c>
      <c r="I60">
        <f>ROUND(TAN(RADIANS(CSV_Import!V58))*((Auswertung!$C$7/2)*100-Auswertung!$C$8),3)</f>
        <v>0</v>
      </c>
      <c r="K60">
        <f>(CSV_Import!$N$2-CSV_Import!N58)</f>
        <v>0</v>
      </c>
      <c r="L60">
        <f>(CSV_Import!$AE$2-CSV_Import!AE58)</f>
        <v>0</v>
      </c>
    </row>
    <row r="61" spans="2:12" x14ac:dyDescent="0.3">
      <c r="B61">
        <f>(CSV_Import!G59-CSV_Import!$G$2)/1000</f>
        <v>0</v>
      </c>
      <c r="D61">
        <f>ROUND(TAN(RADIANS(CSV_Import!D59))*((Auswertung!$C$7*100)/2-Auswertung!$C$8),3)</f>
        <v>0</v>
      </c>
      <c r="E61">
        <f>ROUND(TAN(RADIANS(CSV_Import!U59))*((Auswertung!$C$7/2)*100-Auswertung!$C$8),3)</f>
        <v>0</v>
      </c>
      <c r="F61">
        <f>ROUND(TAN(RADIANS(CSV_Import!B59))*((Auswertung!$C$7/2)*100-Auswertung!$C$8),3)</f>
        <v>0</v>
      </c>
      <c r="G61">
        <f>ROUND(TAN(RADIANS(CSV_Import!S59))*((Auswertung!$C$7/2)*100-Auswertung!$C$8),3)</f>
        <v>0</v>
      </c>
      <c r="H61">
        <f>ROUND(TAN(RADIANS(CSV_Import!E59))*((Auswertung!$C$7/2)*100-Auswertung!$C$8),3)</f>
        <v>0</v>
      </c>
      <c r="I61">
        <f>ROUND(TAN(RADIANS(CSV_Import!V59))*((Auswertung!$C$7/2)*100-Auswertung!$C$8),3)</f>
        <v>0</v>
      </c>
      <c r="K61">
        <f>(CSV_Import!$N$2-CSV_Import!N59)</f>
        <v>0</v>
      </c>
      <c r="L61">
        <f>(CSV_Import!$AE$2-CSV_Import!AE59)</f>
        <v>0</v>
      </c>
    </row>
    <row r="62" spans="2:12" x14ac:dyDescent="0.3">
      <c r="B62">
        <f>(CSV_Import!G60-CSV_Import!$G$2)/1000</f>
        <v>0</v>
      </c>
      <c r="D62">
        <f>ROUND(TAN(RADIANS(CSV_Import!D60))*((Auswertung!$C$7*100)/2-Auswertung!$C$8),3)</f>
        <v>0</v>
      </c>
      <c r="E62">
        <f>ROUND(TAN(RADIANS(CSV_Import!U60))*((Auswertung!$C$7/2)*100-Auswertung!$C$8),3)</f>
        <v>0</v>
      </c>
      <c r="F62">
        <f>ROUND(TAN(RADIANS(CSV_Import!B60))*((Auswertung!$C$7/2)*100-Auswertung!$C$8),3)</f>
        <v>0</v>
      </c>
      <c r="G62">
        <f>ROUND(TAN(RADIANS(CSV_Import!S60))*((Auswertung!$C$7/2)*100-Auswertung!$C$8),3)</f>
        <v>0</v>
      </c>
      <c r="H62">
        <f>ROUND(TAN(RADIANS(CSV_Import!E60))*((Auswertung!$C$7/2)*100-Auswertung!$C$8),3)</f>
        <v>0</v>
      </c>
      <c r="I62">
        <f>ROUND(TAN(RADIANS(CSV_Import!V60))*((Auswertung!$C$7/2)*100-Auswertung!$C$8),3)</f>
        <v>0</v>
      </c>
      <c r="K62">
        <f>(CSV_Import!$N$2-CSV_Import!N60)</f>
        <v>0</v>
      </c>
      <c r="L62">
        <f>(CSV_Import!$AE$2-CSV_Import!AE60)</f>
        <v>0</v>
      </c>
    </row>
    <row r="63" spans="2:12" x14ac:dyDescent="0.3">
      <c r="B63">
        <f>(CSV_Import!G61-CSV_Import!$G$2)/1000</f>
        <v>0</v>
      </c>
      <c r="D63">
        <f>ROUND(TAN(RADIANS(CSV_Import!D61))*((Auswertung!$C$7*100)/2-Auswertung!$C$8),3)</f>
        <v>0</v>
      </c>
      <c r="E63">
        <f>ROUND(TAN(RADIANS(CSV_Import!U61))*((Auswertung!$C$7/2)*100-Auswertung!$C$8),3)</f>
        <v>0</v>
      </c>
      <c r="F63">
        <f>ROUND(TAN(RADIANS(CSV_Import!B61))*((Auswertung!$C$7/2)*100-Auswertung!$C$8),3)</f>
        <v>0</v>
      </c>
      <c r="G63">
        <f>ROUND(TAN(RADIANS(CSV_Import!S61))*((Auswertung!$C$7/2)*100-Auswertung!$C$8),3)</f>
        <v>0</v>
      </c>
      <c r="H63">
        <f>ROUND(TAN(RADIANS(CSV_Import!E61))*((Auswertung!$C$7/2)*100-Auswertung!$C$8),3)</f>
        <v>0</v>
      </c>
      <c r="I63">
        <f>ROUND(TAN(RADIANS(CSV_Import!V61))*((Auswertung!$C$7/2)*100-Auswertung!$C$8),3)</f>
        <v>0</v>
      </c>
      <c r="K63">
        <f>(CSV_Import!$N$2-CSV_Import!N61)</f>
        <v>0</v>
      </c>
      <c r="L63">
        <f>(CSV_Import!$AE$2-CSV_Import!AE61)</f>
        <v>0</v>
      </c>
    </row>
    <row r="64" spans="2:12" x14ac:dyDescent="0.3">
      <c r="B64">
        <f>(CSV_Import!G62-CSV_Import!$G$2)/1000</f>
        <v>0</v>
      </c>
      <c r="D64">
        <f>ROUND(TAN(RADIANS(CSV_Import!D62))*((Auswertung!$C$7*100)/2-Auswertung!$C$8),3)</f>
        <v>0</v>
      </c>
      <c r="E64">
        <f>ROUND(TAN(RADIANS(CSV_Import!U62))*((Auswertung!$C$7/2)*100-Auswertung!$C$8),3)</f>
        <v>0</v>
      </c>
      <c r="F64">
        <f>ROUND(TAN(RADIANS(CSV_Import!B62))*((Auswertung!$C$7/2)*100-Auswertung!$C$8),3)</f>
        <v>0</v>
      </c>
      <c r="G64">
        <f>ROUND(TAN(RADIANS(CSV_Import!S62))*((Auswertung!$C$7/2)*100-Auswertung!$C$8),3)</f>
        <v>0</v>
      </c>
      <c r="H64">
        <f>ROUND(TAN(RADIANS(CSV_Import!E62))*((Auswertung!$C$7/2)*100-Auswertung!$C$8),3)</f>
        <v>0</v>
      </c>
      <c r="I64">
        <f>ROUND(TAN(RADIANS(CSV_Import!V62))*((Auswertung!$C$7/2)*100-Auswertung!$C$8),3)</f>
        <v>0</v>
      </c>
      <c r="K64">
        <f>(CSV_Import!$N$2-CSV_Import!N62)</f>
        <v>0</v>
      </c>
      <c r="L64">
        <f>(CSV_Import!$AE$2-CSV_Import!AE62)</f>
        <v>0</v>
      </c>
    </row>
    <row r="65" spans="2:12" x14ac:dyDescent="0.3">
      <c r="B65">
        <f>(CSV_Import!G63-CSV_Import!$G$2)/1000</f>
        <v>0</v>
      </c>
      <c r="D65">
        <f>ROUND(TAN(RADIANS(CSV_Import!D63))*((Auswertung!$C$7*100)/2-Auswertung!$C$8),3)</f>
        <v>0</v>
      </c>
      <c r="E65">
        <f>ROUND(TAN(RADIANS(CSV_Import!U63))*((Auswertung!$C$7/2)*100-Auswertung!$C$8),3)</f>
        <v>0</v>
      </c>
      <c r="F65">
        <f>ROUND(TAN(RADIANS(CSV_Import!B63))*((Auswertung!$C$7/2)*100-Auswertung!$C$8),3)</f>
        <v>0</v>
      </c>
      <c r="G65">
        <f>ROUND(TAN(RADIANS(CSV_Import!S63))*((Auswertung!$C$7/2)*100-Auswertung!$C$8),3)</f>
        <v>0</v>
      </c>
      <c r="H65">
        <f>ROUND(TAN(RADIANS(CSV_Import!E63))*((Auswertung!$C$7/2)*100-Auswertung!$C$8),3)</f>
        <v>0</v>
      </c>
      <c r="I65">
        <f>ROUND(TAN(RADIANS(CSV_Import!V63))*((Auswertung!$C$7/2)*100-Auswertung!$C$8),3)</f>
        <v>0</v>
      </c>
      <c r="K65">
        <f>(CSV_Import!$N$2-CSV_Import!N63)</f>
        <v>0</v>
      </c>
      <c r="L65">
        <f>(CSV_Import!$AE$2-CSV_Import!AE63)</f>
        <v>0</v>
      </c>
    </row>
    <row r="66" spans="2:12" x14ac:dyDescent="0.3">
      <c r="B66">
        <f>(CSV_Import!G64-CSV_Import!$G$2)/1000</f>
        <v>0</v>
      </c>
      <c r="D66">
        <f>ROUND(TAN(RADIANS(CSV_Import!D64))*((Auswertung!$C$7*100)/2-Auswertung!$C$8),3)</f>
        <v>0</v>
      </c>
      <c r="E66">
        <f>ROUND(TAN(RADIANS(CSV_Import!U64))*((Auswertung!$C$7/2)*100-Auswertung!$C$8),3)</f>
        <v>0</v>
      </c>
      <c r="F66">
        <f>ROUND(TAN(RADIANS(CSV_Import!B64))*((Auswertung!$C$7/2)*100-Auswertung!$C$8),3)</f>
        <v>0</v>
      </c>
      <c r="G66">
        <f>ROUND(TAN(RADIANS(CSV_Import!S64))*((Auswertung!$C$7/2)*100-Auswertung!$C$8),3)</f>
        <v>0</v>
      </c>
      <c r="H66">
        <f>ROUND(TAN(RADIANS(CSV_Import!E64))*((Auswertung!$C$7/2)*100-Auswertung!$C$8),3)</f>
        <v>0</v>
      </c>
      <c r="I66">
        <f>ROUND(TAN(RADIANS(CSV_Import!V64))*((Auswertung!$C$7/2)*100-Auswertung!$C$8),3)</f>
        <v>0</v>
      </c>
      <c r="K66">
        <f>(CSV_Import!$N$2-CSV_Import!N64)</f>
        <v>0</v>
      </c>
      <c r="L66">
        <f>(CSV_Import!$AE$2-CSV_Import!AE64)</f>
        <v>0</v>
      </c>
    </row>
    <row r="67" spans="2:12" x14ac:dyDescent="0.3">
      <c r="B67">
        <f>(CSV_Import!G65-CSV_Import!$G$2)/1000</f>
        <v>0</v>
      </c>
      <c r="D67">
        <f>ROUND(TAN(RADIANS(CSV_Import!D65))*((Auswertung!$C$7*100)/2-Auswertung!$C$8),3)</f>
        <v>0</v>
      </c>
      <c r="E67">
        <f>ROUND(TAN(RADIANS(CSV_Import!U65))*((Auswertung!$C$7/2)*100-Auswertung!$C$8),3)</f>
        <v>0</v>
      </c>
      <c r="F67">
        <f>ROUND(TAN(RADIANS(CSV_Import!B65))*((Auswertung!$C$7/2)*100-Auswertung!$C$8),3)</f>
        <v>0</v>
      </c>
      <c r="G67">
        <f>ROUND(TAN(RADIANS(CSV_Import!S65))*((Auswertung!$C$7/2)*100-Auswertung!$C$8),3)</f>
        <v>0</v>
      </c>
      <c r="H67">
        <f>ROUND(TAN(RADIANS(CSV_Import!E65))*((Auswertung!$C$7/2)*100-Auswertung!$C$8),3)</f>
        <v>0</v>
      </c>
      <c r="I67">
        <f>ROUND(TAN(RADIANS(CSV_Import!V65))*((Auswertung!$C$7/2)*100-Auswertung!$C$8),3)</f>
        <v>0</v>
      </c>
      <c r="K67">
        <f>(CSV_Import!$N$2-CSV_Import!N65)</f>
        <v>0</v>
      </c>
      <c r="L67">
        <f>(CSV_Import!$AE$2-CSV_Import!AE65)</f>
        <v>0</v>
      </c>
    </row>
    <row r="68" spans="2:12" x14ac:dyDescent="0.3">
      <c r="B68">
        <f>(CSV_Import!G66-CSV_Import!$G$2)/1000</f>
        <v>0</v>
      </c>
      <c r="D68">
        <f>ROUND(TAN(RADIANS(CSV_Import!D66))*((Auswertung!$C$7*100)/2-Auswertung!$C$8),3)</f>
        <v>0</v>
      </c>
      <c r="E68">
        <f>ROUND(TAN(RADIANS(CSV_Import!U66))*((Auswertung!$C$7/2)*100-Auswertung!$C$8),3)</f>
        <v>0</v>
      </c>
      <c r="F68">
        <f>ROUND(TAN(RADIANS(CSV_Import!B66))*((Auswertung!$C$7/2)*100-Auswertung!$C$8),3)</f>
        <v>0</v>
      </c>
      <c r="G68">
        <f>ROUND(TAN(RADIANS(CSV_Import!S66))*((Auswertung!$C$7/2)*100-Auswertung!$C$8),3)</f>
        <v>0</v>
      </c>
      <c r="H68">
        <f>ROUND(TAN(RADIANS(CSV_Import!E66))*((Auswertung!$C$7/2)*100-Auswertung!$C$8),3)</f>
        <v>0</v>
      </c>
      <c r="I68">
        <f>ROUND(TAN(RADIANS(CSV_Import!V66))*((Auswertung!$C$7/2)*100-Auswertung!$C$8),3)</f>
        <v>0</v>
      </c>
      <c r="K68">
        <f>(CSV_Import!$N$2-CSV_Import!N66)</f>
        <v>0</v>
      </c>
      <c r="L68">
        <f>(CSV_Import!$AE$2-CSV_Import!AE66)</f>
        <v>0</v>
      </c>
    </row>
    <row r="69" spans="2:12" x14ac:dyDescent="0.3">
      <c r="B69">
        <f>(CSV_Import!G67-CSV_Import!$G$2)/1000</f>
        <v>0</v>
      </c>
      <c r="D69">
        <f>ROUND(TAN(RADIANS(CSV_Import!D67))*((Auswertung!$C$7*100)/2-Auswertung!$C$8),3)</f>
        <v>0</v>
      </c>
      <c r="E69">
        <f>ROUND(TAN(RADIANS(CSV_Import!U67))*((Auswertung!$C$7/2)*100-Auswertung!$C$8),3)</f>
        <v>0</v>
      </c>
      <c r="F69">
        <f>ROUND(TAN(RADIANS(CSV_Import!B67))*((Auswertung!$C$7/2)*100-Auswertung!$C$8),3)</f>
        <v>0</v>
      </c>
      <c r="G69">
        <f>ROUND(TAN(RADIANS(CSV_Import!S67))*((Auswertung!$C$7/2)*100-Auswertung!$C$8),3)</f>
        <v>0</v>
      </c>
      <c r="H69">
        <f>ROUND(TAN(RADIANS(CSV_Import!E67))*((Auswertung!$C$7/2)*100-Auswertung!$C$8),3)</f>
        <v>0</v>
      </c>
      <c r="I69">
        <f>ROUND(TAN(RADIANS(CSV_Import!V67))*((Auswertung!$C$7/2)*100-Auswertung!$C$8),3)</f>
        <v>0</v>
      </c>
      <c r="K69">
        <f>(CSV_Import!$N$2-CSV_Import!N67)</f>
        <v>0</v>
      </c>
      <c r="L69">
        <f>(CSV_Import!$AE$2-CSV_Import!AE67)</f>
        <v>0</v>
      </c>
    </row>
    <row r="70" spans="2:12" x14ac:dyDescent="0.3">
      <c r="B70">
        <f>(CSV_Import!G68-CSV_Import!$G$2)/1000</f>
        <v>0</v>
      </c>
      <c r="D70">
        <f>ROUND(TAN(RADIANS(CSV_Import!D68))*((Auswertung!$C$7*100)/2-Auswertung!$C$8),3)</f>
        <v>0</v>
      </c>
      <c r="E70">
        <f>ROUND(TAN(RADIANS(CSV_Import!U68))*((Auswertung!$C$7/2)*100-Auswertung!$C$8),3)</f>
        <v>0</v>
      </c>
      <c r="F70">
        <f>ROUND(TAN(RADIANS(CSV_Import!B68))*((Auswertung!$C$7/2)*100-Auswertung!$C$8),3)</f>
        <v>0</v>
      </c>
      <c r="G70">
        <f>ROUND(TAN(RADIANS(CSV_Import!S68))*((Auswertung!$C$7/2)*100-Auswertung!$C$8),3)</f>
        <v>0</v>
      </c>
      <c r="H70">
        <f>ROUND(TAN(RADIANS(CSV_Import!E68))*((Auswertung!$C$7/2)*100-Auswertung!$C$8),3)</f>
        <v>0</v>
      </c>
      <c r="I70">
        <f>ROUND(TAN(RADIANS(CSV_Import!V68))*((Auswertung!$C$7/2)*100-Auswertung!$C$8),3)</f>
        <v>0</v>
      </c>
      <c r="K70">
        <f>(CSV_Import!$N$2-CSV_Import!N68)</f>
        <v>0</v>
      </c>
      <c r="L70">
        <f>(CSV_Import!$AE$2-CSV_Import!AE68)</f>
        <v>0</v>
      </c>
    </row>
    <row r="71" spans="2:12" x14ac:dyDescent="0.3">
      <c r="B71">
        <f>(CSV_Import!G69-CSV_Import!$G$2)/1000</f>
        <v>0</v>
      </c>
      <c r="D71">
        <f>ROUND(TAN(RADIANS(CSV_Import!D69))*((Auswertung!$C$7*100)/2-Auswertung!$C$8),3)</f>
        <v>0</v>
      </c>
      <c r="E71">
        <f>ROUND(TAN(RADIANS(CSV_Import!U69))*((Auswertung!$C$7/2)*100-Auswertung!$C$8),3)</f>
        <v>0</v>
      </c>
      <c r="F71">
        <f>ROUND(TAN(RADIANS(CSV_Import!B69))*((Auswertung!$C$7/2)*100-Auswertung!$C$8),3)</f>
        <v>0</v>
      </c>
      <c r="G71">
        <f>ROUND(TAN(RADIANS(CSV_Import!S69))*((Auswertung!$C$7/2)*100-Auswertung!$C$8),3)</f>
        <v>0</v>
      </c>
      <c r="H71">
        <f>ROUND(TAN(RADIANS(CSV_Import!E69))*((Auswertung!$C$7/2)*100-Auswertung!$C$8),3)</f>
        <v>0</v>
      </c>
      <c r="I71">
        <f>ROUND(TAN(RADIANS(CSV_Import!V69))*((Auswertung!$C$7/2)*100-Auswertung!$C$8),3)</f>
        <v>0</v>
      </c>
      <c r="K71">
        <f>(CSV_Import!$N$2-CSV_Import!N69)</f>
        <v>0</v>
      </c>
      <c r="L71">
        <f>(CSV_Import!$AE$2-CSV_Import!AE69)</f>
        <v>0</v>
      </c>
    </row>
    <row r="72" spans="2:12" x14ac:dyDescent="0.3">
      <c r="B72">
        <f>(CSV_Import!G70-CSV_Import!$G$2)/1000</f>
        <v>0</v>
      </c>
      <c r="D72">
        <f>ROUND(TAN(RADIANS(CSV_Import!D70))*((Auswertung!$C$7*100)/2-Auswertung!$C$8),3)</f>
        <v>0</v>
      </c>
      <c r="E72">
        <f>ROUND(TAN(RADIANS(CSV_Import!U70))*((Auswertung!$C$7/2)*100-Auswertung!$C$8),3)</f>
        <v>0</v>
      </c>
      <c r="F72">
        <f>ROUND(TAN(RADIANS(CSV_Import!B70))*((Auswertung!$C$7/2)*100-Auswertung!$C$8),3)</f>
        <v>0</v>
      </c>
      <c r="G72">
        <f>ROUND(TAN(RADIANS(CSV_Import!S70))*((Auswertung!$C$7/2)*100-Auswertung!$C$8),3)</f>
        <v>0</v>
      </c>
      <c r="H72">
        <f>ROUND(TAN(RADIANS(CSV_Import!E70))*((Auswertung!$C$7/2)*100-Auswertung!$C$8),3)</f>
        <v>0</v>
      </c>
      <c r="I72">
        <f>ROUND(TAN(RADIANS(CSV_Import!V70))*((Auswertung!$C$7/2)*100-Auswertung!$C$8),3)</f>
        <v>0</v>
      </c>
      <c r="K72">
        <f>(CSV_Import!$N$2-CSV_Import!N70)</f>
        <v>0</v>
      </c>
      <c r="L72">
        <f>(CSV_Import!$AE$2-CSV_Import!AE70)</f>
        <v>0</v>
      </c>
    </row>
    <row r="73" spans="2:12" x14ac:dyDescent="0.3">
      <c r="B73">
        <f>(CSV_Import!G71-CSV_Import!$G$2)/1000</f>
        <v>0</v>
      </c>
      <c r="D73">
        <f>ROUND(TAN(RADIANS(CSV_Import!D71))*((Auswertung!$C$7*100)/2-Auswertung!$C$8),3)</f>
        <v>0</v>
      </c>
      <c r="E73">
        <f>ROUND(TAN(RADIANS(CSV_Import!U71))*((Auswertung!$C$7/2)*100-Auswertung!$C$8),3)</f>
        <v>0</v>
      </c>
      <c r="F73">
        <f>ROUND(TAN(RADIANS(CSV_Import!B71))*((Auswertung!$C$7/2)*100-Auswertung!$C$8),3)</f>
        <v>0</v>
      </c>
      <c r="G73">
        <f>ROUND(TAN(RADIANS(CSV_Import!S71))*((Auswertung!$C$7/2)*100-Auswertung!$C$8),3)</f>
        <v>0</v>
      </c>
      <c r="H73">
        <f>ROUND(TAN(RADIANS(CSV_Import!E71))*((Auswertung!$C$7/2)*100-Auswertung!$C$8),3)</f>
        <v>0</v>
      </c>
      <c r="I73">
        <f>ROUND(TAN(RADIANS(CSV_Import!V71))*((Auswertung!$C$7/2)*100-Auswertung!$C$8),3)</f>
        <v>0</v>
      </c>
      <c r="K73">
        <f>(CSV_Import!$N$2-CSV_Import!N71)</f>
        <v>0</v>
      </c>
      <c r="L73">
        <f>(CSV_Import!$AE$2-CSV_Import!AE71)</f>
        <v>0</v>
      </c>
    </row>
    <row r="74" spans="2:12" x14ac:dyDescent="0.3">
      <c r="B74">
        <f>(CSV_Import!G72-CSV_Import!$G$2)/1000</f>
        <v>0</v>
      </c>
      <c r="D74">
        <f>ROUND(TAN(RADIANS(CSV_Import!D72))*((Auswertung!$C$7*100)/2-Auswertung!$C$8),3)</f>
        <v>0</v>
      </c>
      <c r="E74">
        <f>ROUND(TAN(RADIANS(CSV_Import!U72))*((Auswertung!$C$7/2)*100-Auswertung!$C$8),3)</f>
        <v>0</v>
      </c>
      <c r="F74">
        <f>ROUND(TAN(RADIANS(CSV_Import!B72))*((Auswertung!$C$7/2)*100-Auswertung!$C$8),3)</f>
        <v>0</v>
      </c>
      <c r="G74">
        <f>ROUND(TAN(RADIANS(CSV_Import!S72))*((Auswertung!$C$7/2)*100-Auswertung!$C$8),3)</f>
        <v>0</v>
      </c>
      <c r="H74">
        <f>ROUND(TAN(RADIANS(CSV_Import!E72))*((Auswertung!$C$7/2)*100-Auswertung!$C$8),3)</f>
        <v>0</v>
      </c>
      <c r="I74">
        <f>ROUND(TAN(RADIANS(CSV_Import!V72))*((Auswertung!$C$7/2)*100-Auswertung!$C$8),3)</f>
        <v>0</v>
      </c>
      <c r="K74">
        <f>(CSV_Import!$N$2-CSV_Import!N72)</f>
        <v>0</v>
      </c>
      <c r="L74">
        <f>(CSV_Import!$AE$2-CSV_Import!AE72)</f>
        <v>0</v>
      </c>
    </row>
    <row r="75" spans="2:12" x14ac:dyDescent="0.3">
      <c r="B75">
        <f>(CSV_Import!G73-CSV_Import!$G$2)/1000</f>
        <v>0</v>
      </c>
      <c r="D75">
        <f>ROUND(TAN(RADIANS(CSV_Import!D73))*((Auswertung!$C$7*100)/2-Auswertung!$C$8),3)</f>
        <v>0</v>
      </c>
      <c r="E75">
        <f>ROUND(TAN(RADIANS(CSV_Import!U73))*((Auswertung!$C$7/2)*100-Auswertung!$C$8),3)</f>
        <v>0</v>
      </c>
      <c r="F75">
        <f>ROUND(TAN(RADIANS(CSV_Import!B73))*((Auswertung!$C$7/2)*100-Auswertung!$C$8),3)</f>
        <v>0</v>
      </c>
      <c r="G75">
        <f>ROUND(TAN(RADIANS(CSV_Import!S73))*((Auswertung!$C$7/2)*100-Auswertung!$C$8),3)</f>
        <v>0</v>
      </c>
      <c r="H75">
        <f>ROUND(TAN(RADIANS(CSV_Import!E73))*((Auswertung!$C$7/2)*100-Auswertung!$C$8),3)</f>
        <v>0</v>
      </c>
      <c r="I75">
        <f>ROUND(TAN(RADIANS(CSV_Import!V73))*((Auswertung!$C$7/2)*100-Auswertung!$C$8),3)</f>
        <v>0</v>
      </c>
      <c r="K75">
        <f>(CSV_Import!$N$2-CSV_Import!N73)</f>
        <v>0</v>
      </c>
      <c r="L75">
        <f>(CSV_Import!$AE$2-CSV_Import!AE73)</f>
        <v>0</v>
      </c>
    </row>
    <row r="76" spans="2:12" x14ac:dyDescent="0.3">
      <c r="B76">
        <f>(CSV_Import!G74-CSV_Import!$G$2)/1000</f>
        <v>0</v>
      </c>
      <c r="D76">
        <f>ROUND(TAN(RADIANS(CSV_Import!D74))*((Auswertung!$C$7*100)/2-Auswertung!$C$8),3)</f>
        <v>0</v>
      </c>
      <c r="E76">
        <f>ROUND(TAN(RADIANS(CSV_Import!U74))*((Auswertung!$C$7/2)*100-Auswertung!$C$8),3)</f>
        <v>0</v>
      </c>
      <c r="F76">
        <f>ROUND(TAN(RADIANS(CSV_Import!B74))*((Auswertung!$C$7/2)*100-Auswertung!$C$8),3)</f>
        <v>0</v>
      </c>
      <c r="G76">
        <f>ROUND(TAN(RADIANS(CSV_Import!S74))*((Auswertung!$C$7/2)*100-Auswertung!$C$8),3)</f>
        <v>0</v>
      </c>
      <c r="H76">
        <f>ROUND(TAN(RADIANS(CSV_Import!E74))*((Auswertung!$C$7/2)*100-Auswertung!$C$8),3)</f>
        <v>0</v>
      </c>
      <c r="I76">
        <f>ROUND(TAN(RADIANS(CSV_Import!V74))*((Auswertung!$C$7/2)*100-Auswertung!$C$8),3)</f>
        <v>0</v>
      </c>
      <c r="K76">
        <f>(CSV_Import!$N$2-CSV_Import!N74)</f>
        <v>0</v>
      </c>
      <c r="L76">
        <f>(CSV_Import!$AE$2-CSV_Import!AE74)</f>
        <v>0</v>
      </c>
    </row>
    <row r="77" spans="2:12" x14ac:dyDescent="0.3">
      <c r="B77">
        <f>(CSV_Import!G75-CSV_Import!$G$2)/1000</f>
        <v>0</v>
      </c>
      <c r="D77">
        <f>ROUND(TAN(RADIANS(CSV_Import!D75))*((Auswertung!$C$7*100)/2-Auswertung!$C$8),3)</f>
        <v>0</v>
      </c>
      <c r="E77">
        <f>ROUND(TAN(RADIANS(CSV_Import!U75))*((Auswertung!$C$7/2)*100-Auswertung!$C$8),3)</f>
        <v>0</v>
      </c>
      <c r="F77">
        <f>ROUND(TAN(RADIANS(CSV_Import!B75))*((Auswertung!$C$7/2)*100-Auswertung!$C$8),3)</f>
        <v>0</v>
      </c>
      <c r="G77">
        <f>ROUND(TAN(RADIANS(CSV_Import!S75))*((Auswertung!$C$7/2)*100-Auswertung!$C$8),3)</f>
        <v>0</v>
      </c>
      <c r="H77">
        <f>ROUND(TAN(RADIANS(CSV_Import!E75))*((Auswertung!$C$7/2)*100-Auswertung!$C$8),3)</f>
        <v>0</v>
      </c>
      <c r="I77">
        <f>ROUND(TAN(RADIANS(CSV_Import!V75))*((Auswertung!$C$7/2)*100-Auswertung!$C$8),3)</f>
        <v>0</v>
      </c>
      <c r="K77">
        <f>(CSV_Import!$N$2-CSV_Import!N75)</f>
        <v>0</v>
      </c>
      <c r="L77">
        <f>(CSV_Import!$AE$2-CSV_Import!AE75)</f>
        <v>0</v>
      </c>
    </row>
    <row r="78" spans="2:12" x14ac:dyDescent="0.3">
      <c r="B78">
        <f>(CSV_Import!G76-CSV_Import!$G$2)/1000</f>
        <v>0</v>
      </c>
      <c r="D78">
        <f>ROUND(TAN(RADIANS(CSV_Import!D76))*((Auswertung!$C$7*100)/2-Auswertung!$C$8),3)</f>
        <v>0</v>
      </c>
      <c r="E78">
        <f>ROUND(TAN(RADIANS(CSV_Import!U76))*((Auswertung!$C$7/2)*100-Auswertung!$C$8),3)</f>
        <v>0</v>
      </c>
      <c r="F78">
        <f>ROUND(TAN(RADIANS(CSV_Import!B76))*((Auswertung!$C$7/2)*100-Auswertung!$C$8),3)</f>
        <v>0</v>
      </c>
      <c r="G78">
        <f>ROUND(TAN(RADIANS(CSV_Import!S76))*((Auswertung!$C$7/2)*100-Auswertung!$C$8),3)</f>
        <v>0</v>
      </c>
      <c r="H78">
        <f>ROUND(TAN(RADIANS(CSV_Import!E76))*((Auswertung!$C$7/2)*100-Auswertung!$C$8),3)</f>
        <v>0</v>
      </c>
      <c r="I78">
        <f>ROUND(TAN(RADIANS(CSV_Import!V76))*((Auswertung!$C$7/2)*100-Auswertung!$C$8),3)</f>
        <v>0</v>
      </c>
      <c r="K78">
        <f>(CSV_Import!$N$2-CSV_Import!N76)</f>
        <v>0</v>
      </c>
      <c r="L78">
        <f>(CSV_Import!$AE$2-CSV_Import!AE76)</f>
        <v>0</v>
      </c>
    </row>
    <row r="79" spans="2:12" x14ac:dyDescent="0.3">
      <c r="B79">
        <f>(CSV_Import!G77-CSV_Import!$G$2)/1000</f>
        <v>0</v>
      </c>
      <c r="D79">
        <f>ROUND(TAN(RADIANS(CSV_Import!D77))*((Auswertung!$C$7*100)/2-Auswertung!$C$8),3)</f>
        <v>0</v>
      </c>
      <c r="E79">
        <f>ROUND(TAN(RADIANS(CSV_Import!U77))*((Auswertung!$C$7/2)*100-Auswertung!$C$8),3)</f>
        <v>0</v>
      </c>
      <c r="F79">
        <f>ROUND(TAN(RADIANS(CSV_Import!B77))*((Auswertung!$C$7/2)*100-Auswertung!$C$8),3)</f>
        <v>0</v>
      </c>
      <c r="G79">
        <f>ROUND(TAN(RADIANS(CSV_Import!S77))*((Auswertung!$C$7/2)*100-Auswertung!$C$8),3)</f>
        <v>0</v>
      </c>
      <c r="H79">
        <f>ROUND(TAN(RADIANS(CSV_Import!E77))*((Auswertung!$C$7/2)*100-Auswertung!$C$8),3)</f>
        <v>0</v>
      </c>
      <c r="I79">
        <f>ROUND(TAN(RADIANS(CSV_Import!V77))*((Auswertung!$C$7/2)*100-Auswertung!$C$8),3)</f>
        <v>0</v>
      </c>
      <c r="K79">
        <f>(CSV_Import!$N$2-CSV_Import!N77)</f>
        <v>0</v>
      </c>
      <c r="L79">
        <f>(CSV_Import!$AE$2-CSV_Import!AE77)</f>
        <v>0</v>
      </c>
    </row>
    <row r="80" spans="2:12" x14ac:dyDescent="0.3">
      <c r="B80">
        <f>(CSV_Import!G78-CSV_Import!$G$2)/1000</f>
        <v>0</v>
      </c>
      <c r="D80">
        <f>ROUND(TAN(RADIANS(CSV_Import!D78))*((Auswertung!$C$7*100)/2-Auswertung!$C$8),3)</f>
        <v>0</v>
      </c>
      <c r="E80">
        <f>ROUND(TAN(RADIANS(CSV_Import!U78))*((Auswertung!$C$7/2)*100-Auswertung!$C$8),3)</f>
        <v>0</v>
      </c>
      <c r="F80">
        <f>ROUND(TAN(RADIANS(CSV_Import!B78))*((Auswertung!$C$7/2)*100-Auswertung!$C$8),3)</f>
        <v>0</v>
      </c>
      <c r="G80">
        <f>ROUND(TAN(RADIANS(CSV_Import!S78))*((Auswertung!$C$7/2)*100-Auswertung!$C$8),3)</f>
        <v>0</v>
      </c>
      <c r="H80">
        <f>ROUND(TAN(RADIANS(CSV_Import!E78))*((Auswertung!$C$7/2)*100-Auswertung!$C$8),3)</f>
        <v>0</v>
      </c>
      <c r="I80">
        <f>ROUND(TAN(RADIANS(CSV_Import!V78))*((Auswertung!$C$7/2)*100-Auswertung!$C$8),3)</f>
        <v>0</v>
      </c>
      <c r="K80">
        <f>(CSV_Import!$N$2-CSV_Import!N78)</f>
        <v>0</v>
      </c>
      <c r="L80">
        <f>(CSV_Import!$AE$2-CSV_Import!AE78)</f>
        <v>0</v>
      </c>
    </row>
    <row r="81" spans="2:12" x14ac:dyDescent="0.3">
      <c r="B81">
        <f>(CSV_Import!G79-CSV_Import!$G$2)/1000</f>
        <v>0</v>
      </c>
      <c r="D81">
        <f>ROUND(TAN(RADIANS(CSV_Import!D79))*((Auswertung!$C$7*100)/2-Auswertung!$C$8),3)</f>
        <v>0</v>
      </c>
      <c r="E81">
        <f>ROUND(TAN(RADIANS(CSV_Import!U79))*((Auswertung!$C$7/2)*100-Auswertung!$C$8),3)</f>
        <v>0</v>
      </c>
      <c r="F81">
        <f>ROUND(TAN(RADIANS(CSV_Import!B79))*((Auswertung!$C$7/2)*100-Auswertung!$C$8),3)</f>
        <v>0</v>
      </c>
      <c r="G81">
        <f>ROUND(TAN(RADIANS(CSV_Import!S79))*((Auswertung!$C$7/2)*100-Auswertung!$C$8),3)</f>
        <v>0</v>
      </c>
      <c r="H81">
        <f>ROUND(TAN(RADIANS(CSV_Import!E79))*((Auswertung!$C$7/2)*100-Auswertung!$C$8),3)</f>
        <v>0</v>
      </c>
      <c r="I81">
        <f>ROUND(TAN(RADIANS(CSV_Import!V79))*((Auswertung!$C$7/2)*100-Auswertung!$C$8),3)</f>
        <v>0</v>
      </c>
      <c r="K81">
        <f>(CSV_Import!$N$2-CSV_Import!N79)</f>
        <v>0</v>
      </c>
      <c r="L81">
        <f>(CSV_Import!$AE$2-CSV_Import!AE79)</f>
        <v>0</v>
      </c>
    </row>
    <row r="82" spans="2:12" x14ac:dyDescent="0.3">
      <c r="B82">
        <f>(CSV_Import!G80-CSV_Import!$G$2)/1000</f>
        <v>0</v>
      </c>
      <c r="D82">
        <f>ROUND(TAN(RADIANS(CSV_Import!D80))*((Auswertung!$C$7*100)/2-Auswertung!$C$8),3)</f>
        <v>0</v>
      </c>
      <c r="E82">
        <f>ROUND(TAN(RADIANS(CSV_Import!U80))*((Auswertung!$C$7/2)*100-Auswertung!$C$8),3)</f>
        <v>0</v>
      </c>
      <c r="F82">
        <f>ROUND(TAN(RADIANS(CSV_Import!B80))*((Auswertung!$C$7/2)*100-Auswertung!$C$8),3)</f>
        <v>0</v>
      </c>
      <c r="G82">
        <f>ROUND(TAN(RADIANS(CSV_Import!S80))*((Auswertung!$C$7/2)*100-Auswertung!$C$8),3)</f>
        <v>0</v>
      </c>
      <c r="H82">
        <f>ROUND(TAN(RADIANS(CSV_Import!E80))*((Auswertung!$C$7/2)*100-Auswertung!$C$8),3)</f>
        <v>0</v>
      </c>
      <c r="I82">
        <f>ROUND(TAN(RADIANS(CSV_Import!V80))*((Auswertung!$C$7/2)*100-Auswertung!$C$8),3)</f>
        <v>0</v>
      </c>
      <c r="K82">
        <f>(CSV_Import!$N$2-CSV_Import!N80)</f>
        <v>0</v>
      </c>
      <c r="L82">
        <f>(CSV_Import!$AE$2-CSV_Import!AE80)</f>
        <v>0</v>
      </c>
    </row>
    <row r="83" spans="2:12" x14ac:dyDescent="0.3">
      <c r="B83">
        <f>(CSV_Import!G81-CSV_Import!$G$2)/1000</f>
        <v>0</v>
      </c>
      <c r="D83">
        <f>ROUND(TAN(RADIANS(CSV_Import!D81))*((Auswertung!$C$7*100)/2-Auswertung!$C$8),3)</f>
        <v>0</v>
      </c>
      <c r="E83">
        <f>ROUND(TAN(RADIANS(CSV_Import!U81))*((Auswertung!$C$7/2)*100-Auswertung!$C$8),3)</f>
        <v>0</v>
      </c>
      <c r="F83">
        <f>ROUND(TAN(RADIANS(CSV_Import!B81))*((Auswertung!$C$7/2)*100-Auswertung!$C$8),3)</f>
        <v>0</v>
      </c>
      <c r="G83">
        <f>ROUND(TAN(RADIANS(CSV_Import!S81))*((Auswertung!$C$7/2)*100-Auswertung!$C$8),3)</f>
        <v>0</v>
      </c>
      <c r="H83">
        <f>ROUND(TAN(RADIANS(CSV_Import!E81))*((Auswertung!$C$7/2)*100-Auswertung!$C$8),3)</f>
        <v>0</v>
      </c>
      <c r="I83">
        <f>ROUND(TAN(RADIANS(CSV_Import!V81))*((Auswertung!$C$7/2)*100-Auswertung!$C$8),3)</f>
        <v>0</v>
      </c>
      <c r="K83">
        <f>(CSV_Import!$N$2-CSV_Import!N81)</f>
        <v>0</v>
      </c>
      <c r="L83">
        <f>(CSV_Import!$AE$2-CSV_Import!AE81)</f>
        <v>0</v>
      </c>
    </row>
    <row r="84" spans="2:12" x14ac:dyDescent="0.3">
      <c r="B84">
        <f>(CSV_Import!G82-CSV_Import!$G$2)/1000</f>
        <v>0</v>
      </c>
      <c r="D84">
        <f>ROUND(TAN(RADIANS(CSV_Import!D82))*((Auswertung!$C$7*100)/2-Auswertung!$C$8),3)</f>
        <v>0</v>
      </c>
      <c r="E84">
        <f>ROUND(TAN(RADIANS(CSV_Import!U82))*((Auswertung!$C$7/2)*100-Auswertung!$C$8),3)</f>
        <v>0</v>
      </c>
      <c r="F84">
        <f>ROUND(TAN(RADIANS(CSV_Import!B82))*((Auswertung!$C$7/2)*100-Auswertung!$C$8),3)</f>
        <v>0</v>
      </c>
      <c r="G84">
        <f>ROUND(TAN(RADIANS(CSV_Import!S82))*((Auswertung!$C$7/2)*100-Auswertung!$C$8),3)</f>
        <v>0</v>
      </c>
      <c r="H84">
        <f>ROUND(TAN(RADIANS(CSV_Import!E82))*((Auswertung!$C$7/2)*100-Auswertung!$C$8),3)</f>
        <v>0</v>
      </c>
      <c r="I84">
        <f>ROUND(TAN(RADIANS(CSV_Import!V82))*((Auswertung!$C$7/2)*100-Auswertung!$C$8),3)</f>
        <v>0</v>
      </c>
      <c r="K84">
        <f>(CSV_Import!$N$2-CSV_Import!N82)</f>
        <v>0</v>
      </c>
      <c r="L84">
        <f>(CSV_Import!$AE$2-CSV_Import!AE82)</f>
        <v>0</v>
      </c>
    </row>
    <row r="85" spans="2:12" x14ac:dyDescent="0.3">
      <c r="B85">
        <f>(CSV_Import!G83-CSV_Import!$G$2)/1000</f>
        <v>0</v>
      </c>
      <c r="D85">
        <f>ROUND(TAN(RADIANS(CSV_Import!D83))*((Auswertung!$C$7*100)/2-Auswertung!$C$8),3)</f>
        <v>0</v>
      </c>
      <c r="E85">
        <f>ROUND(TAN(RADIANS(CSV_Import!U83))*((Auswertung!$C$7/2)*100-Auswertung!$C$8),3)</f>
        <v>0</v>
      </c>
      <c r="F85">
        <f>ROUND(TAN(RADIANS(CSV_Import!B83))*((Auswertung!$C$7/2)*100-Auswertung!$C$8),3)</f>
        <v>0</v>
      </c>
      <c r="G85">
        <f>ROUND(TAN(RADIANS(CSV_Import!S83))*((Auswertung!$C$7/2)*100-Auswertung!$C$8),3)</f>
        <v>0</v>
      </c>
      <c r="H85">
        <f>ROUND(TAN(RADIANS(CSV_Import!E83))*((Auswertung!$C$7/2)*100-Auswertung!$C$8),3)</f>
        <v>0</v>
      </c>
      <c r="I85">
        <f>ROUND(TAN(RADIANS(CSV_Import!V83))*((Auswertung!$C$7/2)*100-Auswertung!$C$8),3)</f>
        <v>0</v>
      </c>
      <c r="K85">
        <f>(CSV_Import!$N$2-CSV_Import!N83)</f>
        <v>0</v>
      </c>
      <c r="L85">
        <f>(CSV_Import!$AE$2-CSV_Import!AE83)</f>
        <v>0</v>
      </c>
    </row>
    <row r="86" spans="2:12" x14ac:dyDescent="0.3">
      <c r="B86">
        <f>(CSV_Import!G84-CSV_Import!$G$2)/1000</f>
        <v>0</v>
      </c>
      <c r="D86">
        <f>ROUND(TAN(RADIANS(CSV_Import!D84))*((Auswertung!$C$7*100)/2-Auswertung!$C$8),3)</f>
        <v>0</v>
      </c>
      <c r="E86">
        <f>ROUND(TAN(RADIANS(CSV_Import!U84))*((Auswertung!$C$7/2)*100-Auswertung!$C$8),3)</f>
        <v>0</v>
      </c>
      <c r="F86">
        <f>ROUND(TAN(RADIANS(CSV_Import!B84))*((Auswertung!$C$7/2)*100-Auswertung!$C$8),3)</f>
        <v>0</v>
      </c>
      <c r="G86">
        <f>ROUND(TAN(RADIANS(CSV_Import!S84))*((Auswertung!$C$7/2)*100-Auswertung!$C$8),3)</f>
        <v>0</v>
      </c>
      <c r="H86">
        <f>ROUND(TAN(RADIANS(CSV_Import!E84))*((Auswertung!$C$7/2)*100-Auswertung!$C$8),3)</f>
        <v>0</v>
      </c>
      <c r="I86">
        <f>ROUND(TAN(RADIANS(CSV_Import!V84))*((Auswertung!$C$7/2)*100-Auswertung!$C$8),3)</f>
        <v>0</v>
      </c>
      <c r="K86">
        <f>(CSV_Import!$N$2-CSV_Import!N84)</f>
        <v>0</v>
      </c>
      <c r="L86">
        <f>(CSV_Import!$AE$2-CSV_Import!AE84)</f>
        <v>0</v>
      </c>
    </row>
    <row r="87" spans="2:12" x14ac:dyDescent="0.3">
      <c r="B87">
        <f>(CSV_Import!G85-CSV_Import!$G$2)/1000</f>
        <v>0</v>
      </c>
      <c r="D87">
        <f>ROUND(TAN(RADIANS(CSV_Import!D85))*((Auswertung!$C$7*100)/2-Auswertung!$C$8),3)</f>
        <v>0</v>
      </c>
      <c r="E87">
        <f>ROUND(TAN(RADIANS(CSV_Import!U85))*((Auswertung!$C$7/2)*100-Auswertung!$C$8),3)</f>
        <v>0</v>
      </c>
      <c r="F87">
        <f>ROUND(TAN(RADIANS(CSV_Import!B85))*((Auswertung!$C$7/2)*100-Auswertung!$C$8),3)</f>
        <v>0</v>
      </c>
      <c r="G87">
        <f>ROUND(TAN(RADIANS(CSV_Import!S85))*((Auswertung!$C$7/2)*100-Auswertung!$C$8),3)</f>
        <v>0</v>
      </c>
      <c r="H87">
        <f>ROUND(TAN(RADIANS(CSV_Import!E85))*((Auswertung!$C$7/2)*100-Auswertung!$C$8),3)</f>
        <v>0</v>
      </c>
      <c r="I87">
        <f>ROUND(TAN(RADIANS(CSV_Import!V85))*((Auswertung!$C$7/2)*100-Auswertung!$C$8),3)</f>
        <v>0</v>
      </c>
      <c r="K87">
        <f>(CSV_Import!$N$2-CSV_Import!N85)</f>
        <v>0</v>
      </c>
      <c r="L87">
        <f>(CSV_Import!$AE$2-CSV_Import!AE85)</f>
        <v>0</v>
      </c>
    </row>
    <row r="88" spans="2:12" x14ac:dyDescent="0.3">
      <c r="B88">
        <f>(CSV_Import!G86-CSV_Import!$G$2)/1000</f>
        <v>0</v>
      </c>
      <c r="D88">
        <f>ROUND(TAN(RADIANS(CSV_Import!D86))*((Auswertung!$C$7*100)/2-Auswertung!$C$8),3)</f>
        <v>0</v>
      </c>
      <c r="E88">
        <f>ROUND(TAN(RADIANS(CSV_Import!U86))*((Auswertung!$C$7/2)*100-Auswertung!$C$8),3)</f>
        <v>0</v>
      </c>
      <c r="F88">
        <f>ROUND(TAN(RADIANS(CSV_Import!B86))*((Auswertung!$C$7/2)*100-Auswertung!$C$8),3)</f>
        <v>0</v>
      </c>
      <c r="G88">
        <f>ROUND(TAN(RADIANS(CSV_Import!S86))*((Auswertung!$C$7/2)*100-Auswertung!$C$8),3)</f>
        <v>0</v>
      </c>
      <c r="H88">
        <f>ROUND(TAN(RADIANS(CSV_Import!E86))*((Auswertung!$C$7/2)*100-Auswertung!$C$8),3)</f>
        <v>0</v>
      </c>
      <c r="I88">
        <f>ROUND(TAN(RADIANS(CSV_Import!V86))*((Auswertung!$C$7/2)*100-Auswertung!$C$8),3)</f>
        <v>0</v>
      </c>
      <c r="K88">
        <f>(CSV_Import!$N$2-CSV_Import!N86)</f>
        <v>0</v>
      </c>
      <c r="L88">
        <f>(CSV_Import!$AE$2-CSV_Import!AE86)</f>
        <v>0</v>
      </c>
    </row>
    <row r="89" spans="2:12" x14ac:dyDescent="0.3">
      <c r="B89">
        <f>(CSV_Import!G87-CSV_Import!$G$2)/1000</f>
        <v>0</v>
      </c>
      <c r="D89">
        <f>ROUND(TAN(RADIANS(CSV_Import!D87))*((Auswertung!$C$7*100)/2-Auswertung!$C$8),3)</f>
        <v>0</v>
      </c>
      <c r="E89">
        <f>ROUND(TAN(RADIANS(CSV_Import!U87))*((Auswertung!$C$7/2)*100-Auswertung!$C$8),3)</f>
        <v>0</v>
      </c>
      <c r="F89">
        <f>ROUND(TAN(RADIANS(CSV_Import!B87))*((Auswertung!$C$7/2)*100-Auswertung!$C$8),3)</f>
        <v>0</v>
      </c>
      <c r="G89">
        <f>ROUND(TAN(RADIANS(CSV_Import!S87))*((Auswertung!$C$7/2)*100-Auswertung!$C$8),3)</f>
        <v>0</v>
      </c>
      <c r="H89">
        <f>ROUND(TAN(RADIANS(CSV_Import!E87))*((Auswertung!$C$7/2)*100-Auswertung!$C$8),3)</f>
        <v>0</v>
      </c>
      <c r="I89">
        <f>ROUND(TAN(RADIANS(CSV_Import!V87))*((Auswertung!$C$7/2)*100-Auswertung!$C$8),3)</f>
        <v>0</v>
      </c>
      <c r="K89">
        <f>(CSV_Import!$N$2-CSV_Import!N87)</f>
        <v>0</v>
      </c>
      <c r="L89">
        <f>(CSV_Import!$AE$2-CSV_Import!AE87)</f>
        <v>0</v>
      </c>
    </row>
    <row r="90" spans="2:12" x14ac:dyDescent="0.3">
      <c r="B90">
        <f>(CSV_Import!G88-CSV_Import!$G$2)/1000</f>
        <v>0</v>
      </c>
      <c r="D90">
        <f>ROUND(TAN(RADIANS(CSV_Import!D88))*((Auswertung!$C$7*100)/2-Auswertung!$C$8),3)</f>
        <v>0</v>
      </c>
      <c r="E90">
        <f>ROUND(TAN(RADIANS(CSV_Import!U88))*((Auswertung!$C$7/2)*100-Auswertung!$C$8),3)</f>
        <v>0</v>
      </c>
      <c r="F90">
        <f>ROUND(TAN(RADIANS(CSV_Import!B88))*((Auswertung!$C$7/2)*100-Auswertung!$C$8),3)</f>
        <v>0</v>
      </c>
      <c r="G90">
        <f>ROUND(TAN(RADIANS(CSV_Import!S88))*((Auswertung!$C$7/2)*100-Auswertung!$C$8),3)</f>
        <v>0</v>
      </c>
      <c r="H90">
        <f>ROUND(TAN(RADIANS(CSV_Import!E88))*((Auswertung!$C$7/2)*100-Auswertung!$C$8),3)</f>
        <v>0</v>
      </c>
      <c r="I90">
        <f>ROUND(TAN(RADIANS(CSV_Import!V88))*((Auswertung!$C$7/2)*100-Auswertung!$C$8),3)</f>
        <v>0</v>
      </c>
      <c r="K90">
        <f>(CSV_Import!$N$2-CSV_Import!N88)</f>
        <v>0</v>
      </c>
      <c r="L90">
        <f>(CSV_Import!$AE$2-CSV_Import!AE88)</f>
        <v>0</v>
      </c>
    </row>
    <row r="91" spans="2:12" x14ac:dyDescent="0.3">
      <c r="B91">
        <f>(CSV_Import!G89-CSV_Import!$G$2)/1000</f>
        <v>0</v>
      </c>
      <c r="D91">
        <f>ROUND(TAN(RADIANS(CSV_Import!D89))*((Auswertung!$C$7*100)/2-Auswertung!$C$8),3)</f>
        <v>0</v>
      </c>
      <c r="E91">
        <f>ROUND(TAN(RADIANS(CSV_Import!U89))*((Auswertung!$C$7/2)*100-Auswertung!$C$8),3)</f>
        <v>0</v>
      </c>
      <c r="F91">
        <f>ROUND(TAN(RADIANS(CSV_Import!B89))*((Auswertung!$C$7/2)*100-Auswertung!$C$8),3)</f>
        <v>0</v>
      </c>
      <c r="G91">
        <f>ROUND(TAN(RADIANS(CSV_Import!S89))*((Auswertung!$C$7/2)*100-Auswertung!$C$8),3)</f>
        <v>0</v>
      </c>
      <c r="H91">
        <f>ROUND(TAN(RADIANS(CSV_Import!E89))*((Auswertung!$C$7/2)*100-Auswertung!$C$8),3)</f>
        <v>0</v>
      </c>
      <c r="I91">
        <f>ROUND(TAN(RADIANS(CSV_Import!V89))*((Auswertung!$C$7/2)*100-Auswertung!$C$8),3)</f>
        <v>0</v>
      </c>
      <c r="K91">
        <f>(CSV_Import!$N$2-CSV_Import!N89)</f>
        <v>0</v>
      </c>
      <c r="L91">
        <f>(CSV_Import!$AE$2-CSV_Import!AE89)</f>
        <v>0</v>
      </c>
    </row>
    <row r="92" spans="2:12" x14ac:dyDescent="0.3">
      <c r="B92">
        <f>(CSV_Import!G90-CSV_Import!$G$2)/1000</f>
        <v>0</v>
      </c>
      <c r="D92">
        <f>ROUND(TAN(RADIANS(CSV_Import!D90))*((Auswertung!$C$7*100)/2-Auswertung!$C$8),3)</f>
        <v>0</v>
      </c>
      <c r="E92">
        <f>ROUND(TAN(RADIANS(CSV_Import!U90))*((Auswertung!$C$7/2)*100-Auswertung!$C$8),3)</f>
        <v>0</v>
      </c>
      <c r="F92">
        <f>ROUND(TAN(RADIANS(CSV_Import!B90))*((Auswertung!$C$7/2)*100-Auswertung!$C$8),3)</f>
        <v>0</v>
      </c>
      <c r="G92">
        <f>ROUND(TAN(RADIANS(CSV_Import!S90))*((Auswertung!$C$7/2)*100-Auswertung!$C$8),3)</f>
        <v>0</v>
      </c>
      <c r="H92">
        <f>ROUND(TAN(RADIANS(CSV_Import!E90))*((Auswertung!$C$7/2)*100-Auswertung!$C$8),3)</f>
        <v>0</v>
      </c>
      <c r="I92">
        <f>ROUND(TAN(RADIANS(CSV_Import!V90))*((Auswertung!$C$7/2)*100-Auswertung!$C$8),3)</f>
        <v>0</v>
      </c>
      <c r="K92">
        <f>(CSV_Import!$N$2-CSV_Import!N90)</f>
        <v>0</v>
      </c>
      <c r="L92">
        <f>(CSV_Import!$AE$2-CSV_Import!AE90)</f>
        <v>0</v>
      </c>
    </row>
    <row r="93" spans="2:12" x14ac:dyDescent="0.3">
      <c r="B93">
        <f>(CSV_Import!G91-CSV_Import!$G$2)/1000</f>
        <v>0</v>
      </c>
      <c r="D93">
        <f>ROUND(TAN(RADIANS(CSV_Import!D91))*((Auswertung!$C$7*100)/2-Auswertung!$C$8),3)</f>
        <v>0</v>
      </c>
      <c r="E93">
        <f>ROUND(TAN(RADIANS(CSV_Import!U91))*((Auswertung!$C$7/2)*100-Auswertung!$C$8),3)</f>
        <v>0</v>
      </c>
      <c r="F93">
        <f>ROUND(TAN(RADIANS(CSV_Import!B91))*((Auswertung!$C$7/2)*100-Auswertung!$C$8),3)</f>
        <v>0</v>
      </c>
      <c r="G93">
        <f>ROUND(TAN(RADIANS(CSV_Import!S91))*((Auswertung!$C$7/2)*100-Auswertung!$C$8),3)</f>
        <v>0</v>
      </c>
      <c r="H93">
        <f>ROUND(TAN(RADIANS(CSV_Import!E91))*((Auswertung!$C$7/2)*100-Auswertung!$C$8),3)</f>
        <v>0</v>
      </c>
      <c r="I93">
        <f>ROUND(TAN(RADIANS(CSV_Import!V91))*((Auswertung!$C$7/2)*100-Auswertung!$C$8),3)</f>
        <v>0</v>
      </c>
      <c r="K93">
        <f>(CSV_Import!$N$2-CSV_Import!N91)</f>
        <v>0</v>
      </c>
      <c r="L93">
        <f>(CSV_Import!$AE$2-CSV_Import!AE91)</f>
        <v>0</v>
      </c>
    </row>
    <row r="94" spans="2:12" x14ac:dyDescent="0.3">
      <c r="B94">
        <f>(CSV_Import!G92-CSV_Import!$G$2)/1000</f>
        <v>0</v>
      </c>
      <c r="D94">
        <f>ROUND(TAN(RADIANS(CSV_Import!D92))*((Auswertung!$C$7*100)/2-Auswertung!$C$8),3)</f>
        <v>0</v>
      </c>
      <c r="E94">
        <f>ROUND(TAN(RADIANS(CSV_Import!U92))*((Auswertung!$C$7/2)*100-Auswertung!$C$8),3)</f>
        <v>0</v>
      </c>
      <c r="F94">
        <f>ROUND(TAN(RADIANS(CSV_Import!B92))*((Auswertung!$C$7/2)*100-Auswertung!$C$8),3)</f>
        <v>0</v>
      </c>
      <c r="G94">
        <f>ROUND(TAN(RADIANS(CSV_Import!S92))*((Auswertung!$C$7/2)*100-Auswertung!$C$8),3)</f>
        <v>0</v>
      </c>
      <c r="H94">
        <f>ROUND(TAN(RADIANS(CSV_Import!E92))*((Auswertung!$C$7/2)*100-Auswertung!$C$8),3)</f>
        <v>0</v>
      </c>
      <c r="I94">
        <f>ROUND(TAN(RADIANS(CSV_Import!V92))*((Auswertung!$C$7/2)*100-Auswertung!$C$8),3)</f>
        <v>0</v>
      </c>
      <c r="K94">
        <f>(CSV_Import!$N$2-CSV_Import!N92)</f>
        <v>0</v>
      </c>
      <c r="L94">
        <f>(CSV_Import!$AE$2-CSV_Import!AE92)</f>
        <v>0</v>
      </c>
    </row>
    <row r="95" spans="2:12" x14ac:dyDescent="0.3">
      <c r="B95">
        <f>(CSV_Import!G93-CSV_Import!$G$2)/1000</f>
        <v>0</v>
      </c>
      <c r="D95">
        <f>ROUND(TAN(RADIANS(CSV_Import!D93))*((Auswertung!$C$7*100)/2-Auswertung!$C$8),3)</f>
        <v>0</v>
      </c>
      <c r="E95">
        <f>ROUND(TAN(RADIANS(CSV_Import!U93))*((Auswertung!$C$7/2)*100-Auswertung!$C$8),3)</f>
        <v>0</v>
      </c>
      <c r="F95">
        <f>ROUND(TAN(RADIANS(CSV_Import!B93))*((Auswertung!$C$7/2)*100-Auswertung!$C$8),3)</f>
        <v>0</v>
      </c>
      <c r="G95">
        <f>ROUND(TAN(RADIANS(CSV_Import!S93))*((Auswertung!$C$7/2)*100-Auswertung!$C$8),3)</f>
        <v>0</v>
      </c>
      <c r="H95">
        <f>ROUND(TAN(RADIANS(CSV_Import!E93))*((Auswertung!$C$7/2)*100-Auswertung!$C$8),3)</f>
        <v>0</v>
      </c>
      <c r="I95">
        <f>ROUND(TAN(RADIANS(CSV_Import!V93))*((Auswertung!$C$7/2)*100-Auswertung!$C$8),3)</f>
        <v>0</v>
      </c>
      <c r="K95">
        <f>(CSV_Import!$N$2-CSV_Import!N93)</f>
        <v>0</v>
      </c>
      <c r="L95">
        <f>(CSV_Import!$AE$2-CSV_Import!AE93)</f>
        <v>0</v>
      </c>
    </row>
    <row r="96" spans="2:12" x14ac:dyDescent="0.3">
      <c r="B96">
        <f>(CSV_Import!G94-CSV_Import!$G$2)/1000</f>
        <v>0</v>
      </c>
      <c r="D96">
        <f>ROUND(TAN(RADIANS(CSV_Import!D94))*((Auswertung!$C$7*100)/2-Auswertung!$C$8),3)</f>
        <v>0</v>
      </c>
      <c r="E96">
        <f>ROUND(TAN(RADIANS(CSV_Import!U94))*((Auswertung!$C$7/2)*100-Auswertung!$C$8),3)</f>
        <v>0</v>
      </c>
      <c r="F96">
        <f>ROUND(TAN(RADIANS(CSV_Import!B94))*((Auswertung!$C$7/2)*100-Auswertung!$C$8),3)</f>
        <v>0</v>
      </c>
      <c r="G96">
        <f>ROUND(TAN(RADIANS(CSV_Import!S94))*((Auswertung!$C$7/2)*100-Auswertung!$C$8),3)</f>
        <v>0</v>
      </c>
      <c r="H96">
        <f>ROUND(TAN(RADIANS(CSV_Import!E94))*((Auswertung!$C$7/2)*100-Auswertung!$C$8),3)</f>
        <v>0</v>
      </c>
      <c r="I96">
        <f>ROUND(TAN(RADIANS(CSV_Import!V94))*((Auswertung!$C$7/2)*100-Auswertung!$C$8),3)</f>
        <v>0</v>
      </c>
      <c r="K96">
        <f>(CSV_Import!$N$2-CSV_Import!N94)</f>
        <v>0</v>
      </c>
      <c r="L96">
        <f>(CSV_Import!$AE$2-CSV_Import!AE94)</f>
        <v>0</v>
      </c>
    </row>
    <row r="97" spans="2:12" x14ac:dyDescent="0.3">
      <c r="B97">
        <f>(CSV_Import!G95-CSV_Import!$G$2)/1000</f>
        <v>0</v>
      </c>
      <c r="D97">
        <f>ROUND(TAN(RADIANS(CSV_Import!D95))*((Auswertung!$C$7*100)/2-Auswertung!$C$8),3)</f>
        <v>0</v>
      </c>
      <c r="E97">
        <f>ROUND(TAN(RADIANS(CSV_Import!U95))*((Auswertung!$C$7/2)*100-Auswertung!$C$8),3)</f>
        <v>0</v>
      </c>
      <c r="F97">
        <f>ROUND(TAN(RADIANS(CSV_Import!B95))*((Auswertung!$C$7/2)*100-Auswertung!$C$8),3)</f>
        <v>0</v>
      </c>
      <c r="G97">
        <f>ROUND(TAN(RADIANS(CSV_Import!S95))*((Auswertung!$C$7/2)*100-Auswertung!$C$8),3)</f>
        <v>0</v>
      </c>
      <c r="H97">
        <f>ROUND(TAN(RADIANS(CSV_Import!E95))*((Auswertung!$C$7/2)*100-Auswertung!$C$8),3)</f>
        <v>0</v>
      </c>
      <c r="I97">
        <f>ROUND(TAN(RADIANS(CSV_Import!V95))*((Auswertung!$C$7/2)*100-Auswertung!$C$8),3)</f>
        <v>0</v>
      </c>
      <c r="K97">
        <f>(CSV_Import!$N$2-CSV_Import!N95)</f>
        <v>0</v>
      </c>
      <c r="L97">
        <f>(CSV_Import!$AE$2-CSV_Import!AE95)</f>
        <v>0</v>
      </c>
    </row>
    <row r="98" spans="2:12" x14ac:dyDescent="0.3">
      <c r="B98">
        <f>(CSV_Import!G96-CSV_Import!$G$2)/1000</f>
        <v>0</v>
      </c>
      <c r="D98">
        <f>ROUND(TAN(RADIANS(CSV_Import!D96))*((Auswertung!$C$7*100)/2-Auswertung!$C$8),3)</f>
        <v>0</v>
      </c>
      <c r="E98">
        <f>ROUND(TAN(RADIANS(CSV_Import!U96))*((Auswertung!$C$7/2)*100-Auswertung!$C$8),3)</f>
        <v>0</v>
      </c>
      <c r="F98">
        <f>ROUND(TAN(RADIANS(CSV_Import!B96))*((Auswertung!$C$7/2)*100-Auswertung!$C$8),3)</f>
        <v>0</v>
      </c>
      <c r="G98">
        <f>ROUND(TAN(RADIANS(CSV_Import!S96))*((Auswertung!$C$7/2)*100-Auswertung!$C$8),3)</f>
        <v>0</v>
      </c>
      <c r="H98">
        <f>ROUND(TAN(RADIANS(CSV_Import!E96))*((Auswertung!$C$7/2)*100-Auswertung!$C$8),3)</f>
        <v>0</v>
      </c>
      <c r="I98">
        <f>ROUND(TAN(RADIANS(CSV_Import!V96))*((Auswertung!$C$7/2)*100-Auswertung!$C$8),3)</f>
        <v>0</v>
      </c>
      <c r="K98">
        <f>(CSV_Import!$N$2-CSV_Import!N96)</f>
        <v>0</v>
      </c>
      <c r="L98">
        <f>(CSV_Import!$AE$2-CSV_Import!AE96)</f>
        <v>0</v>
      </c>
    </row>
    <row r="99" spans="2:12" x14ac:dyDescent="0.3">
      <c r="B99">
        <f>(CSV_Import!G97-CSV_Import!$G$2)/1000</f>
        <v>0</v>
      </c>
      <c r="D99">
        <f>ROUND(TAN(RADIANS(CSV_Import!D97))*((Auswertung!$C$7*100)/2-Auswertung!$C$8),3)</f>
        <v>0</v>
      </c>
      <c r="E99">
        <f>ROUND(TAN(RADIANS(CSV_Import!U97))*((Auswertung!$C$7/2)*100-Auswertung!$C$8),3)</f>
        <v>0</v>
      </c>
      <c r="F99">
        <f>ROUND(TAN(RADIANS(CSV_Import!B97))*((Auswertung!$C$7/2)*100-Auswertung!$C$8),3)</f>
        <v>0</v>
      </c>
      <c r="G99">
        <f>ROUND(TAN(RADIANS(CSV_Import!S97))*((Auswertung!$C$7/2)*100-Auswertung!$C$8),3)</f>
        <v>0</v>
      </c>
      <c r="H99">
        <f>ROUND(TAN(RADIANS(CSV_Import!E97))*((Auswertung!$C$7/2)*100-Auswertung!$C$8),3)</f>
        <v>0</v>
      </c>
      <c r="I99">
        <f>ROUND(TAN(RADIANS(CSV_Import!V97))*((Auswertung!$C$7/2)*100-Auswertung!$C$8),3)</f>
        <v>0</v>
      </c>
      <c r="K99">
        <f>(CSV_Import!$N$2-CSV_Import!N97)</f>
        <v>0</v>
      </c>
      <c r="L99">
        <f>(CSV_Import!$AE$2-CSV_Import!AE97)</f>
        <v>0</v>
      </c>
    </row>
    <row r="100" spans="2:12" x14ac:dyDescent="0.3">
      <c r="B100">
        <f>(CSV_Import!G98-CSV_Import!$G$2)/1000</f>
        <v>0</v>
      </c>
      <c r="D100">
        <f>ROUND(TAN(RADIANS(CSV_Import!D98))*((Auswertung!$C$7*100)/2-Auswertung!$C$8),3)</f>
        <v>0</v>
      </c>
      <c r="E100">
        <f>ROUND(TAN(RADIANS(CSV_Import!U98))*((Auswertung!$C$7/2)*100-Auswertung!$C$8),3)</f>
        <v>0</v>
      </c>
      <c r="F100">
        <f>ROUND(TAN(RADIANS(CSV_Import!B98))*((Auswertung!$C$7/2)*100-Auswertung!$C$8),3)</f>
        <v>0</v>
      </c>
      <c r="G100">
        <f>ROUND(TAN(RADIANS(CSV_Import!S98))*((Auswertung!$C$7/2)*100-Auswertung!$C$8),3)</f>
        <v>0</v>
      </c>
      <c r="H100">
        <f>ROUND(TAN(RADIANS(CSV_Import!E98))*((Auswertung!$C$7/2)*100-Auswertung!$C$8),3)</f>
        <v>0</v>
      </c>
      <c r="I100">
        <f>ROUND(TAN(RADIANS(CSV_Import!V98))*((Auswertung!$C$7/2)*100-Auswertung!$C$8),3)</f>
        <v>0</v>
      </c>
      <c r="K100">
        <f>(CSV_Import!$N$2-CSV_Import!N98)</f>
        <v>0</v>
      </c>
      <c r="L100">
        <f>(CSV_Import!$AE$2-CSV_Import!AE98)</f>
        <v>0</v>
      </c>
    </row>
    <row r="101" spans="2:12" x14ac:dyDescent="0.3">
      <c r="B101">
        <f>(CSV_Import!G99-CSV_Import!$G$2)/1000</f>
        <v>0</v>
      </c>
      <c r="D101">
        <f>ROUND(TAN(RADIANS(CSV_Import!D99))*((Auswertung!$C$7*100)/2-Auswertung!$C$8),3)</f>
        <v>0</v>
      </c>
      <c r="E101">
        <f>ROUND(TAN(RADIANS(CSV_Import!U99))*((Auswertung!$C$7/2)*100-Auswertung!$C$8),3)</f>
        <v>0</v>
      </c>
      <c r="F101">
        <f>ROUND(TAN(RADIANS(CSV_Import!B99))*((Auswertung!$C$7/2)*100-Auswertung!$C$8),3)</f>
        <v>0</v>
      </c>
      <c r="G101">
        <f>ROUND(TAN(RADIANS(CSV_Import!S99))*((Auswertung!$C$7/2)*100-Auswertung!$C$8),3)</f>
        <v>0</v>
      </c>
      <c r="H101">
        <f>ROUND(TAN(RADIANS(CSV_Import!E99))*((Auswertung!$C$7/2)*100-Auswertung!$C$8),3)</f>
        <v>0</v>
      </c>
      <c r="I101">
        <f>ROUND(TAN(RADIANS(CSV_Import!V99))*((Auswertung!$C$7/2)*100-Auswertung!$C$8),3)</f>
        <v>0</v>
      </c>
      <c r="K101">
        <f>(CSV_Import!$N$2-CSV_Import!N99)</f>
        <v>0</v>
      </c>
      <c r="L101">
        <f>(CSV_Import!$AE$2-CSV_Import!AE99)</f>
        <v>0</v>
      </c>
    </row>
    <row r="102" spans="2:12" x14ac:dyDescent="0.3">
      <c r="B102">
        <f>(CSV_Import!G100-CSV_Import!$G$2)/1000</f>
        <v>0</v>
      </c>
      <c r="D102">
        <f>ROUND(TAN(RADIANS(CSV_Import!D100))*((Auswertung!$C$7*100)/2-Auswertung!$C$8),3)</f>
        <v>0</v>
      </c>
      <c r="E102">
        <f>ROUND(TAN(RADIANS(CSV_Import!U100))*((Auswertung!$C$7/2)*100-Auswertung!$C$8),3)</f>
        <v>0</v>
      </c>
      <c r="F102">
        <f>ROUND(TAN(RADIANS(CSV_Import!B100))*((Auswertung!$C$7/2)*100-Auswertung!$C$8),3)</f>
        <v>0</v>
      </c>
      <c r="G102">
        <f>ROUND(TAN(RADIANS(CSV_Import!S100))*((Auswertung!$C$7/2)*100-Auswertung!$C$8),3)</f>
        <v>0</v>
      </c>
      <c r="H102">
        <f>ROUND(TAN(RADIANS(CSV_Import!E100))*((Auswertung!$C$7/2)*100-Auswertung!$C$8),3)</f>
        <v>0</v>
      </c>
      <c r="I102">
        <f>ROUND(TAN(RADIANS(CSV_Import!V100))*((Auswertung!$C$7/2)*100-Auswertung!$C$8),3)</f>
        <v>0</v>
      </c>
      <c r="K102">
        <f>(CSV_Import!$N$2-CSV_Import!N100)</f>
        <v>0</v>
      </c>
      <c r="L102">
        <f>(CSV_Import!$AE$2-CSV_Import!AE100)</f>
        <v>0</v>
      </c>
    </row>
    <row r="103" spans="2:12" x14ac:dyDescent="0.3">
      <c r="B103">
        <f>(CSV_Import!G101-CSV_Import!$G$2)/1000</f>
        <v>0</v>
      </c>
      <c r="D103">
        <f>ROUND(TAN(RADIANS(CSV_Import!D101))*((Auswertung!$C$7*100)/2-Auswertung!$C$8),3)</f>
        <v>0</v>
      </c>
      <c r="E103">
        <f>ROUND(TAN(RADIANS(CSV_Import!U101))*((Auswertung!$C$7/2)*100-Auswertung!$C$8),3)</f>
        <v>0</v>
      </c>
      <c r="F103">
        <f>ROUND(TAN(RADIANS(CSV_Import!B101))*((Auswertung!$C$7/2)*100-Auswertung!$C$8),3)</f>
        <v>0</v>
      </c>
      <c r="G103">
        <f>ROUND(TAN(RADIANS(CSV_Import!S101))*((Auswertung!$C$7/2)*100-Auswertung!$C$8),3)</f>
        <v>0</v>
      </c>
      <c r="H103">
        <f>ROUND(TAN(RADIANS(CSV_Import!E101))*((Auswertung!$C$7/2)*100-Auswertung!$C$8),3)</f>
        <v>0</v>
      </c>
      <c r="I103">
        <f>ROUND(TAN(RADIANS(CSV_Import!V101))*((Auswertung!$C$7/2)*100-Auswertung!$C$8),3)</f>
        <v>0</v>
      </c>
      <c r="K103">
        <f>(CSV_Import!$N$2-CSV_Import!N101)</f>
        <v>0</v>
      </c>
      <c r="L103">
        <f>(CSV_Import!$AE$2-CSV_Import!AE101)</f>
        <v>0</v>
      </c>
    </row>
    <row r="104" spans="2:12" x14ac:dyDescent="0.3">
      <c r="B104">
        <f>(CSV_Import!G102-CSV_Import!$G$2)/1000</f>
        <v>0</v>
      </c>
      <c r="D104">
        <f>ROUND(TAN(RADIANS(CSV_Import!D102))*((Auswertung!$C$7*100)/2-Auswertung!$C$8),3)</f>
        <v>0</v>
      </c>
      <c r="E104">
        <f>ROUND(TAN(RADIANS(CSV_Import!U102))*((Auswertung!$C$7/2)*100-Auswertung!$C$8),3)</f>
        <v>0</v>
      </c>
      <c r="F104">
        <f>ROUND(TAN(RADIANS(CSV_Import!B102))*((Auswertung!$C$7/2)*100-Auswertung!$C$8),3)</f>
        <v>0</v>
      </c>
      <c r="G104">
        <f>ROUND(TAN(RADIANS(CSV_Import!S102))*((Auswertung!$C$7/2)*100-Auswertung!$C$8),3)</f>
        <v>0</v>
      </c>
      <c r="H104">
        <f>ROUND(TAN(RADIANS(CSV_Import!E102))*((Auswertung!$C$7/2)*100-Auswertung!$C$8),3)</f>
        <v>0</v>
      </c>
      <c r="I104">
        <f>ROUND(TAN(RADIANS(CSV_Import!V102))*((Auswertung!$C$7/2)*100-Auswertung!$C$8),3)</f>
        <v>0</v>
      </c>
      <c r="K104">
        <f>(CSV_Import!$N$2-CSV_Import!N102)</f>
        <v>0</v>
      </c>
      <c r="L104">
        <f>(CSV_Import!$AE$2-CSV_Import!AE102)</f>
        <v>0</v>
      </c>
    </row>
    <row r="105" spans="2:12" x14ac:dyDescent="0.3">
      <c r="B105">
        <f>(CSV_Import!G103-CSV_Import!$G$2)/1000</f>
        <v>0</v>
      </c>
      <c r="D105">
        <f>ROUND(TAN(RADIANS(CSV_Import!D103))*((Auswertung!$C$7*100)/2-Auswertung!$C$8),3)</f>
        <v>0</v>
      </c>
      <c r="E105">
        <f>ROUND(TAN(RADIANS(CSV_Import!U103))*((Auswertung!$C$7/2)*100-Auswertung!$C$8),3)</f>
        <v>0</v>
      </c>
      <c r="F105">
        <f>ROUND(TAN(RADIANS(CSV_Import!B103))*((Auswertung!$C$7/2)*100-Auswertung!$C$8),3)</f>
        <v>0</v>
      </c>
      <c r="G105">
        <f>ROUND(TAN(RADIANS(CSV_Import!S103))*((Auswertung!$C$7/2)*100-Auswertung!$C$8),3)</f>
        <v>0</v>
      </c>
      <c r="H105">
        <f>ROUND(TAN(RADIANS(CSV_Import!E103))*((Auswertung!$C$7/2)*100-Auswertung!$C$8),3)</f>
        <v>0</v>
      </c>
      <c r="I105">
        <f>ROUND(TAN(RADIANS(CSV_Import!V103))*((Auswertung!$C$7/2)*100-Auswertung!$C$8),3)</f>
        <v>0</v>
      </c>
      <c r="K105">
        <f>(CSV_Import!$N$2-CSV_Import!N103)</f>
        <v>0</v>
      </c>
      <c r="L105">
        <f>(CSV_Import!$AE$2-CSV_Import!AE103)</f>
        <v>0</v>
      </c>
    </row>
    <row r="106" spans="2:12" x14ac:dyDescent="0.3">
      <c r="B106">
        <f>(CSV_Import!G104-CSV_Import!$G$2)/1000</f>
        <v>0</v>
      </c>
      <c r="D106">
        <f>ROUND(TAN(RADIANS(CSV_Import!D104))*((Auswertung!$C$7*100)/2-Auswertung!$C$8),3)</f>
        <v>0</v>
      </c>
      <c r="E106">
        <f>ROUND(TAN(RADIANS(CSV_Import!U104))*((Auswertung!$C$7/2)*100-Auswertung!$C$8),3)</f>
        <v>0</v>
      </c>
      <c r="F106">
        <f>ROUND(TAN(RADIANS(CSV_Import!B104))*((Auswertung!$C$7/2)*100-Auswertung!$C$8),3)</f>
        <v>0</v>
      </c>
      <c r="G106">
        <f>ROUND(TAN(RADIANS(CSV_Import!S104))*((Auswertung!$C$7/2)*100-Auswertung!$C$8),3)</f>
        <v>0</v>
      </c>
      <c r="H106">
        <f>ROUND(TAN(RADIANS(CSV_Import!E104))*((Auswertung!$C$7/2)*100-Auswertung!$C$8),3)</f>
        <v>0</v>
      </c>
      <c r="I106">
        <f>ROUND(TAN(RADIANS(CSV_Import!V104))*((Auswertung!$C$7/2)*100-Auswertung!$C$8),3)</f>
        <v>0</v>
      </c>
      <c r="K106">
        <f>(CSV_Import!$N$2-CSV_Import!N104)</f>
        <v>0</v>
      </c>
      <c r="L106">
        <f>(CSV_Import!$AE$2-CSV_Import!AE104)</f>
        <v>0</v>
      </c>
    </row>
    <row r="107" spans="2:12" x14ac:dyDescent="0.3">
      <c r="B107">
        <f>(CSV_Import!G105-CSV_Import!$G$2)/1000</f>
        <v>0</v>
      </c>
      <c r="D107">
        <f>ROUND(TAN(RADIANS(CSV_Import!D105))*((Auswertung!$C$7*100)/2-Auswertung!$C$8),3)</f>
        <v>0</v>
      </c>
      <c r="E107">
        <f>ROUND(TAN(RADIANS(CSV_Import!U105))*((Auswertung!$C$7/2)*100-Auswertung!$C$8),3)</f>
        <v>0</v>
      </c>
      <c r="F107">
        <f>ROUND(TAN(RADIANS(CSV_Import!B105))*((Auswertung!$C$7/2)*100-Auswertung!$C$8),3)</f>
        <v>0</v>
      </c>
      <c r="G107">
        <f>ROUND(TAN(RADIANS(CSV_Import!S105))*((Auswertung!$C$7/2)*100-Auswertung!$C$8),3)</f>
        <v>0</v>
      </c>
      <c r="H107">
        <f>ROUND(TAN(RADIANS(CSV_Import!E105))*((Auswertung!$C$7/2)*100-Auswertung!$C$8),3)</f>
        <v>0</v>
      </c>
      <c r="I107">
        <f>ROUND(TAN(RADIANS(CSV_Import!V105))*((Auswertung!$C$7/2)*100-Auswertung!$C$8),3)</f>
        <v>0</v>
      </c>
      <c r="K107">
        <f>(CSV_Import!$N$2-CSV_Import!N105)</f>
        <v>0</v>
      </c>
      <c r="L107">
        <f>(CSV_Import!$AE$2-CSV_Import!AE105)</f>
        <v>0</v>
      </c>
    </row>
    <row r="108" spans="2:12" x14ac:dyDescent="0.3">
      <c r="B108">
        <f>(CSV_Import!G106-CSV_Import!$G$2)/1000</f>
        <v>0</v>
      </c>
      <c r="D108">
        <f>ROUND(TAN(RADIANS(CSV_Import!D106))*((Auswertung!$C$7*100)/2-Auswertung!$C$8),3)</f>
        <v>0</v>
      </c>
      <c r="E108">
        <f>ROUND(TAN(RADIANS(CSV_Import!U106))*((Auswertung!$C$7/2)*100-Auswertung!$C$8),3)</f>
        <v>0</v>
      </c>
      <c r="F108">
        <f>ROUND(TAN(RADIANS(CSV_Import!B106))*((Auswertung!$C$7/2)*100-Auswertung!$C$8),3)</f>
        <v>0</v>
      </c>
      <c r="G108">
        <f>ROUND(TAN(RADIANS(CSV_Import!S106))*((Auswertung!$C$7/2)*100-Auswertung!$C$8),3)</f>
        <v>0</v>
      </c>
      <c r="H108">
        <f>ROUND(TAN(RADIANS(CSV_Import!E106))*((Auswertung!$C$7/2)*100-Auswertung!$C$8),3)</f>
        <v>0</v>
      </c>
      <c r="I108">
        <f>ROUND(TAN(RADIANS(CSV_Import!V106))*((Auswertung!$C$7/2)*100-Auswertung!$C$8),3)</f>
        <v>0</v>
      </c>
      <c r="K108">
        <f>(CSV_Import!$N$2-CSV_Import!N106)</f>
        <v>0</v>
      </c>
      <c r="L108">
        <f>(CSV_Import!$AE$2-CSV_Import!AE106)</f>
        <v>0</v>
      </c>
    </row>
    <row r="109" spans="2:12" x14ac:dyDescent="0.3">
      <c r="B109">
        <f>(CSV_Import!G107-CSV_Import!$G$2)/1000</f>
        <v>0</v>
      </c>
      <c r="D109">
        <f>ROUND(TAN(RADIANS(CSV_Import!D107))*((Auswertung!$C$7*100)/2-Auswertung!$C$8),3)</f>
        <v>0</v>
      </c>
      <c r="E109">
        <f>ROUND(TAN(RADIANS(CSV_Import!U107))*((Auswertung!$C$7/2)*100-Auswertung!$C$8),3)</f>
        <v>0</v>
      </c>
      <c r="F109">
        <f>ROUND(TAN(RADIANS(CSV_Import!B107))*((Auswertung!$C$7/2)*100-Auswertung!$C$8),3)</f>
        <v>0</v>
      </c>
      <c r="G109">
        <f>ROUND(TAN(RADIANS(CSV_Import!S107))*((Auswertung!$C$7/2)*100-Auswertung!$C$8),3)</f>
        <v>0</v>
      </c>
      <c r="H109">
        <f>ROUND(TAN(RADIANS(CSV_Import!E107))*((Auswertung!$C$7/2)*100-Auswertung!$C$8),3)</f>
        <v>0</v>
      </c>
      <c r="I109">
        <f>ROUND(TAN(RADIANS(CSV_Import!V107))*((Auswertung!$C$7/2)*100-Auswertung!$C$8),3)</f>
        <v>0</v>
      </c>
      <c r="K109">
        <f>(CSV_Import!$N$2-CSV_Import!N107)</f>
        <v>0</v>
      </c>
      <c r="L109">
        <f>(CSV_Import!$AE$2-CSV_Import!AE107)</f>
        <v>0</v>
      </c>
    </row>
    <row r="110" spans="2:12" x14ac:dyDescent="0.3">
      <c r="B110">
        <f>(CSV_Import!G108-CSV_Import!$G$2)/1000</f>
        <v>0</v>
      </c>
      <c r="D110">
        <f>ROUND(TAN(RADIANS(CSV_Import!D108))*((Auswertung!$C$7*100)/2-Auswertung!$C$8),3)</f>
        <v>0</v>
      </c>
      <c r="E110">
        <f>ROUND(TAN(RADIANS(CSV_Import!U108))*((Auswertung!$C$7/2)*100-Auswertung!$C$8),3)</f>
        <v>0</v>
      </c>
      <c r="F110">
        <f>ROUND(TAN(RADIANS(CSV_Import!B108))*((Auswertung!$C$7/2)*100-Auswertung!$C$8),3)</f>
        <v>0</v>
      </c>
      <c r="G110">
        <f>ROUND(TAN(RADIANS(CSV_Import!S108))*((Auswertung!$C$7/2)*100-Auswertung!$C$8),3)</f>
        <v>0</v>
      </c>
      <c r="H110">
        <f>ROUND(TAN(RADIANS(CSV_Import!E108))*((Auswertung!$C$7/2)*100-Auswertung!$C$8),3)</f>
        <v>0</v>
      </c>
      <c r="I110">
        <f>ROUND(TAN(RADIANS(CSV_Import!V108))*((Auswertung!$C$7/2)*100-Auswertung!$C$8),3)</f>
        <v>0</v>
      </c>
      <c r="K110">
        <f>(CSV_Import!$N$2-CSV_Import!N108)</f>
        <v>0</v>
      </c>
      <c r="L110">
        <f>(CSV_Import!$AE$2-CSV_Import!AE108)</f>
        <v>0</v>
      </c>
    </row>
    <row r="111" spans="2:12" x14ac:dyDescent="0.3">
      <c r="B111">
        <f>(CSV_Import!G109-CSV_Import!$G$2)/1000</f>
        <v>0</v>
      </c>
      <c r="D111">
        <f>ROUND(TAN(RADIANS(CSV_Import!D109))*((Auswertung!$C$7*100)/2-Auswertung!$C$8),3)</f>
        <v>0</v>
      </c>
      <c r="E111">
        <f>ROUND(TAN(RADIANS(CSV_Import!U109))*((Auswertung!$C$7/2)*100-Auswertung!$C$8),3)</f>
        <v>0</v>
      </c>
      <c r="F111">
        <f>ROUND(TAN(RADIANS(CSV_Import!B109))*((Auswertung!$C$7/2)*100-Auswertung!$C$8),3)</f>
        <v>0</v>
      </c>
      <c r="G111">
        <f>ROUND(TAN(RADIANS(CSV_Import!S109))*((Auswertung!$C$7/2)*100-Auswertung!$C$8),3)</f>
        <v>0</v>
      </c>
      <c r="H111">
        <f>ROUND(TAN(RADIANS(CSV_Import!E109))*((Auswertung!$C$7/2)*100-Auswertung!$C$8),3)</f>
        <v>0</v>
      </c>
      <c r="I111">
        <f>ROUND(TAN(RADIANS(CSV_Import!V109))*((Auswertung!$C$7/2)*100-Auswertung!$C$8),3)</f>
        <v>0</v>
      </c>
      <c r="K111">
        <f>(CSV_Import!$N$2-CSV_Import!N109)</f>
        <v>0</v>
      </c>
      <c r="L111">
        <f>(CSV_Import!$AE$2-CSV_Import!AE109)</f>
        <v>0</v>
      </c>
    </row>
    <row r="112" spans="2:12" x14ac:dyDescent="0.3">
      <c r="B112">
        <f>(CSV_Import!G110-CSV_Import!$G$2)/1000</f>
        <v>0</v>
      </c>
      <c r="D112">
        <f>ROUND(TAN(RADIANS(CSV_Import!D110))*((Auswertung!$C$7*100)/2-Auswertung!$C$8),3)</f>
        <v>0</v>
      </c>
      <c r="E112">
        <f>ROUND(TAN(RADIANS(CSV_Import!U110))*((Auswertung!$C$7/2)*100-Auswertung!$C$8),3)</f>
        <v>0</v>
      </c>
      <c r="F112">
        <f>ROUND(TAN(RADIANS(CSV_Import!B110))*((Auswertung!$C$7/2)*100-Auswertung!$C$8),3)</f>
        <v>0</v>
      </c>
      <c r="G112">
        <f>ROUND(TAN(RADIANS(CSV_Import!S110))*((Auswertung!$C$7/2)*100-Auswertung!$C$8),3)</f>
        <v>0</v>
      </c>
      <c r="H112">
        <f>ROUND(TAN(RADIANS(CSV_Import!E110))*((Auswertung!$C$7/2)*100-Auswertung!$C$8),3)</f>
        <v>0</v>
      </c>
      <c r="I112">
        <f>ROUND(TAN(RADIANS(CSV_Import!V110))*((Auswertung!$C$7/2)*100-Auswertung!$C$8),3)</f>
        <v>0</v>
      </c>
      <c r="K112">
        <f>(CSV_Import!$N$2-CSV_Import!N110)</f>
        <v>0</v>
      </c>
      <c r="L112">
        <f>(CSV_Import!$AE$2-CSV_Import!AE110)</f>
        <v>0</v>
      </c>
    </row>
    <row r="113" spans="2:12" x14ac:dyDescent="0.3">
      <c r="B113">
        <f>(CSV_Import!G111-CSV_Import!$G$2)/1000</f>
        <v>0</v>
      </c>
      <c r="D113">
        <f>ROUND(TAN(RADIANS(CSV_Import!D111))*((Auswertung!$C$7*100)/2-Auswertung!$C$8),3)</f>
        <v>0</v>
      </c>
      <c r="E113">
        <f>ROUND(TAN(RADIANS(CSV_Import!U111))*((Auswertung!$C$7/2)*100-Auswertung!$C$8),3)</f>
        <v>0</v>
      </c>
      <c r="F113">
        <f>ROUND(TAN(RADIANS(CSV_Import!B111))*((Auswertung!$C$7/2)*100-Auswertung!$C$8),3)</f>
        <v>0</v>
      </c>
      <c r="G113">
        <f>ROUND(TAN(RADIANS(CSV_Import!S111))*((Auswertung!$C$7/2)*100-Auswertung!$C$8),3)</f>
        <v>0</v>
      </c>
      <c r="H113">
        <f>ROUND(TAN(RADIANS(CSV_Import!E111))*((Auswertung!$C$7/2)*100-Auswertung!$C$8),3)</f>
        <v>0</v>
      </c>
      <c r="I113">
        <f>ROUND(TAN(RADIANS(CSV_Import!V111))*((Auswertung!$C$7/2)*100-Auswertung!$C$8),3)</f>
        <v>0</v>
      </c>
      <c r="K113">
        <f>(CSV_Import!$N$2-CSV_Import!N111)</f>
        <v>0</v>
      </c>
      <c r="L113">
        <f>(CSV_Import!$AE$2-CSV_Import!AE111)</f>
        <v>0</v>
      </c>
    </row>
    <row r="114" spans="2:12" x14ac:dyDescent="0.3">
      <c r="B114">
        <f>(CSV_Import!G112-CSV_Import!$G$2)/1000</f>
        <v>0</v>
      </c>
      <c r="D114">
        <f>ROUND(TAN(RADIANS(CSV_Import!D112))*((Auswertung!$C$7*100)/2-Auswertung!$C$8),3)</f>
        <v>0</v>
      </c>
      <c r="E114">
        <f>ROUND(TAN(RADIANS(CSV_Import!U112))*((Auswertung!$C$7/2)*100-Auswertung!$C$8),3)</f>
        <v>0</v>
      </c>
      <c r="F114">
        <f>ROUND(TAN(RADIANS(CSV_Import!B112))*((Auswertung!$C$7/2)*100-Auswertung!$C$8),3)</f>
        <v>0</v>
      </c>
      <c r="G114">
        <f>ROUND(TAN(RADIANS(CSV_Import!S112))*((Auswertung!$C$7/2)*100-Auswertung!$C$8),3)</f>
        <v>0</v>
      </c>
      <c r="H114">
        <f>ROUND(TAN(RADIANS(CSV_Import!E112))*((Auswertung!$C$7/2)*100-Auswertung!$C$8),3)</f>
        <v>0</v>
      </c>
      <c r="I114">
        <f>ROUND(TAN(RADIANS(CSV_Import!V112))*((Auswertung!$C$7/2)*100-Auswertung!$C$8),3)</f>
        <v>0</v>
      </c>
      <c r="K114">
        <f>(CSV_Import!$N$2-CSV_Import!N112)</f>
        <v>0</v>
      </c>
      <c r="L114">
        <f>(CSV_Import!$AE$2-CSV_Import!AE112)</f>
        <v>0</v>
      </c>
    </row>
    <row r="115" spans="2:12" x14ac:dyDescent="0.3">
      <c r="B115">
        <f>(CSV_Import!G113-CSV_Import!$G$2)/1000</f>
        <v>0</v>
      </c>
      <c r="D115">
        <f>ROUND(TAN(RADIANS(CSV_Import!D113))*((Auswertung!$C$7*100)/2-Auswertung!$C$8),3)</f>
        <v>0</v>
      </c>
      <c r="E115">
        <f>ROUND(TAN(RADIANS(CSV_Import!U113))*((Auswertung!$C$7/2)*100-Auswertung!$C$8),3)</f>
        <v>0</v>
      </c>
      <c r="F115">
        <f>ROUND(TAN(RADIANS(CSV_Import!B113))*((Auswertung!$C$7/2)*100-Auswertung!$C$8),3)</f>
        <v>0</v>
      </c>
      <c r="G115">
        <f>ROUND(TAN(RADIANS(CSV_Import!S113))*((Auswertung!$C$7/2)*100-Auswertung!$C$8),3)</f>
        <v>0</v>
      </c>
      <c r="H115">
        <f>ROUND(TAN(RADIANS(CSV_Import!E113))*((Auswertung!$C$7/2)*100-Auswertung!$C$8),3)</f>
        <v>0</v>
      </c>
      <c r="I115">
        <f>ROUND(TAN(RADIANS(CSV_Import!V113))*((Auswertung!$C$7/2)*100-Auswertung!$C$8),3)</f>
        <v>0</v>
      </c>
      <c r="K115">
        <f>(CSV_Import!$N$2-CSV_Import!N113)</f>
        <v>0</v>
      </c>
      <c r="L115">
        <f>(CSV_Import!$AE$2-CSV_Import!AE113)</f>
        <v>0</v>
      </c>
    </row>
    <row r="116" spans="2:12" x14ac:dyDescent="0.3">
      <c r="B116">
        <f>(CSV_Import!G114-CSV_Import!$G$2)/1000</f>
        <v>0</v>
      </c>
      <c r="D116">
        <f>ROUND(TAN(RADIANS(CSV_Import!D114))*((Auswertung!$C$7*100)/2-Auswertung!$C$8),3)</f>
        <v>0</v>
      </c>
      <c r="E116">
        <f>ROUND(TAN(RADIANS(CSV_Import!U114))*((Auswertung!$C$7/2)*100-Auswertung!$C$8),3)</f>
        <v>0</v>
      </c>
      <c r="F116">
        <f>ROUND(TAN(RADIANS(CSV_Import!B114))*((Auswertung!$C$7/2)*100-Auswertung!$C$8),3)</f>
        <v>0</v>
      </c>
      <c r="G116">
        <f>ROUND(TAN(RADIANS(CSV_Import!S114))*((Auswertung!$C$7/2)*100-Auswertung!$C$8),3)</f>
        <v>0</v>
      </c>
      <c r="H116">
        <f>ROUND(TAN(RADIANS(CSV_Import!E114))*((Auswertung!$C$7/2)*100-Auswertung!$C$8),3)</f>
        <v>0</v>
      </c>
      <c r="I116">
        <f>ROUND(TAN(RADIANS(CSV_Import!V114))*((Auswertung!$C$7/2)*100-Auswertung!$C$8),3)</f>
        <v>0</v>
      </c>
      <c r="K116">
        <f>(CSV_Import!$N$2-CSV_Import!N114)</f>
        <v>0</v>
      </c>
      <c r="L116">
        <f>(CSV_Import!$AE$2-CSV_Import!AE114)</f>
        <v>0</v>
      </c>
    </row>
    <row r="117" spans="2:12" x14ac:dyDescent="0.3">
      <c r="B117">
        <f>(CSV_Import!G115-CSV_Import!$G$2)/1000</f>
        <v>0</v>
      </c>
      <c r="D117">
        <f>ROUND(TAN(RADIANS(CSV_Import!D115))*((Auswertung!$C$7*100)/2-Auswertung!$C$8),3)</f>
        <v>0</v>
      </c>
      <c r="E117">
        <f>ROUND(TAN(RADIANS(CSV_Import!U115))*((Auswertung!$C$7/2)*100-Auswertung!$C$8),3)</f>
        <v>0</v>
      </c>
      <c r="F117">
        <f>ROUND(TAN(RADIANS(CSV_Import!B115))*((Auswertung!$C$7/2)*100-Auswertung!$C$8),3)</f>
        <v>0</v>
      </c>
      <c r="G117">
        <f>ROUND(TAN(RADIANS(CSV_Import!S115))*((Auswertung!$C$7/2)*100-Auswertung!$C$8),3)</f>
        <v>0</v>
      </c>
      <c r="H117">
        <f>ROUND(TAN(RADIANS(CSV_Import!E115))*((Auswertung!$C$7/2)*100-Auswertung!$C$8),3)</f>
        <v>0</v>
      </c>
      <c r="I117">
        <f>ROUND(TAN(RADIANS(CSV_Import!V115))*((Auswertung!$C$7/2)*100-Auswertung!$C$8),3)</f>
        <v>0</v>
      </c>
      <c r="K117">
        <f>(CSV_Import!$N$2-CSV_Import!N115)</f>
        <v>0</v>
      </c>
      <c r="L117">
        <f>(CSV_Import!$AE$2-CSV_Import!AE115)</f>
        <v>0</v>
      </c>
    </row>
    <row r="118" spans="2:12" x14ac:dyDescent="0.3">
      <c r="B118">
        <f>(CSV_Import!G116-CSV_Import!$G$2)/1000</f>
        <v>0</v>
      </c>
      <c r="D118">
        <f>ROUND(TAN(RADIANS(CSV_Import!D116))*((Auswertung!$C$7*100)/2-Auswertung!$C$8),3)</f>
        <v>0</v>
      </c>
      <c r="E118">
        <f>ROUND(TAN(RADIANS(CSV_Import!U116))*((Auswertung!$C$7/2)*100-Auswertung!$C$8),3)</f>
        <v>0</v>
      </c>
      <c r="F118">
        <f>ROUND(TAN(RADIANS(CSV_Import!B116))*((Auswertung!$C$7/2)*100-Auswertung!$C$8),3)</f>
        <v>0</v>
      </c>
      <c r="G118">
        <f>ROUND(TAN(RADIANS(CSV_Import!S116))*((Auswertung!$C$7/2)*100-Auswertung!$C$8),3)</f>
        <v>0</v>
      </c>
      <c r="H118">
        <f>ROUND(TAN(RADIANS(CSV_Import!E116))*((Auswertung!$C$7/2)*100-Auswertung!$C$8),3)</f>
        <v>0</v>
      </c>
      <c r="I118">
        <f>ROUND(TAN(RADIANS(CSV_Import!V116))*((Auswertung!$C$7/2)*100-Auswertung!$C$8),3)</f>
        <v>0</v>
      </c>
      <c r="K118">
        <f>(CSV_Import!$N$2-CSV_Import!N116)</f>
        <v>0</v>
      </c>
      <c r="L118">
        <f>(CSV_Import!$AE$2-CSV_Import!AE116)</f>
        <v>0</v>
      </c>
    </row>
    <row r="119" spans="2:12" x14ac:dyDescent="0.3">
      <c r="B119">
        <f>(CSV_Import!G117-CSV_Import!$G$2)/1000</f>
        <v>0</v>
      </c>
      <c r="D119">
        <f>ROUND(TAN(RADIANS(CSV_Import!D117))*((Auswertung!$C$7*100)/2-Auswertung!$C$8),3)</f>
        <v>0</v>
      </c>
      <c r="E119">
        <f>ROUND(TAN(RADIANS(CSV_Import!U117))*((Auswertung!$C$7/2)*100-Auswertung!$C$8),3)</f>
        <v>0</v>
      </c>
      <c r="F119">
        <f>ROUND(TAN(RADIANS(CSV_Import!B117))*((Auswertung!$C$7/2)*100-Auswertung!$C$8),3)</f>
        <v>0</v>
      </c>
      <c r="G119">
        <f>ROUND(TAN(RADIANS(CSV_Import!S117))*((Auswertung!$C$7/2)*100-Auswertung!$C$8),3)</f>
        <v>0</v>
      </c>
      <c r="H119">
        <f>ROUND(TAN(RADIANS(CSV_Import!E117))*((Auswertung!$C$7/2)*100-Auswertung!$C$8),3)</f>
        <v>0</v>
      </c>
      <c r="I119">
        <f>ROUND(TAN(RADIANS(CSV_Import!V117))*((Auswertung!$C$7/2)*100-Auswertung!$C$8),3)</f>
        <v>0</v>
      </c>
      <c r="K119">
        <f>(CSV_Import!$N$2-CSV_Import!N117)</f>
        <v>0</v>
      </c>
      <c r="L119">
        <f>(CSV_Import!$AE$2-CSV_Import!AE117)</f>
        <v>0</v>
      </c>
    </row>
    <row r="120" spans="2:12" x14ac:dyDescent="0.3">
      <c r="B120">
        <f>(CSV_Import!G118-CSV_Import!$G$2)/1000</f>
        <v>0</v>
      </c>
      <c r="D120">
        <f>ROUND(TAN(RADIANS(CSV_Import!D118))*((Auswertung!$C$7*100)/2-Auswertung!$C$8),3)</f>
        <v>0</v>
      </c>
      <c r="E120">
        <f>ROUND(TAN(RADIANS(CSV_Import!U118))*((Auswertung!$C$7/2)*100-Auswertung!$C$8),3)</f>
        <v>0</v>
      </c>
      <c r="F120">
        <f>ROUND(TAN(RADIANS(CSV_Import!B118))*((Auswertung!$C$7/2)*100-Auswertung!$C$8),3)</f>
        <v>0</v>
      </c>
      <c r="G120">
        <f>ROUND(TAN(RADIANS(CSV_Import!S118))*((Auswertung!$C$7/2)*100-Auswertung!$C$8),3)</f>
        <v>0</v>
      </c>
      <c r="H120">
        <f>ROUND(TAN(RADIANS(CSV_Import!E118))*((Auswertung!$C$7/2)*100-Auswertung!$C$8),3)</f>
        <v>0</v>
      </c>
      <c r="I120">
        <f>ROUND(TAN(RADIANS(CSV_Import!V118))*((Auswertung!$C$7/2)*100-Auswertung!$C$8),3)</f>
        <v>0</v>
      </c>
      <c r="K120">
        <f>(CSV_Import!$N$2-CSV_Import!N118)</f>
        <v>0</v>
      </c>
      <c r="L120">
        <f>(CSV_Import!$AE$2-CSV_Import!AE118)</f>
        <v>0</v>
      </c>
    </row>
    <row r="121" spans="2:12" x14ac:dyDescent="0.3">
      <c r="B121">
        <f>(CSV_Import!G119-CSV_Import!$G$2)/1000</f>
        <v>0</v>
      </c>
      <c r="D121">
        <f>ROUND(TAN(RADIANS(CSV_Import!D119))*((Auswertung!$C$7*100)/2-Auswertung!$C$8),3)</f>
        <v>0</v>
      </c>
      <c r="E121">
        <f>ROUND(TAN(RADIANS(CSV_Import!U119))*((Auswertung!$C$7/2)*100-Auswertung!$C$8),3)</f>
        <v>0</v>
      </c>
      <c r="F121">
        <f>ROUND(TAN(RADIANS(CSV_Import!B119))*((Auswertung!$C$7/2)*100-Auswertung!$C$8),3)</f>
        <v>0</v>
      </c>
      <c r="G121">
        <f>ROUND(TAN(RADIANS(CSV_Import!S119))*((Auswertung!$C$7/2)*100-Auswertung!$C$8),3)</f>
        <v>0</v>
      </c>
      <c r="H121">
        <f>ROUND(TAN(RADIANS(CSV_Import!E119))*((Auswertung!$C$7/2)*100-Auswertung!$C$8),3)</f>
        <v>0</v>
      </c>
      <c r="I121">
        <f>ROUND(TAN(RADIANS(CSV_Import!V119))*((Auswertung!$C$7/2)*100-Auswertung!$C$8),3)</f>
        <v>0</v>
      </c>
      <c r="K121">
        <f>(CSV_Import!$N$2-CSV_Import!N119)</f>
        <v>0</v>
      </c>
      <c r="L121">
        <f>(CSV_Import!$AE$2-CSV_Import!AE119)</f>
        <v>0</v>
      </c>
    </row>
    <row r="122" spans="2:12" x14ac:dyDescent="0.3">
      <c r="B122">
        <f>(CSV_Import!G120-CSV_Import!$G$2)/1000</f>
        <v>0</v>
      </c>
      <c r="D122">
        <f>ROUND(TAN(RADIANS(CSV_Import!D120))*((Auswertung!$C$7*100)/2-Auswertung!$C$8),3)</f>
        <v>0</v>
      </c>
      <c r="E122">
        <f>ROUND(TAN(RADIANS(CSV_Import!U120))*((Auswertung!$C$7/2)*100-Auswertung!$C$8),3)</f>
        <v>0</v>
      </c>
      <c r="F122">
        <f>ROUND(TAN(RADIANS(CSV_Import!B120))*((Auswertung!$C$7/2)*100-Auswertung!$C$8),3)</f>
        <v>0</v>
      </c>
      <c r="G122">
        <f>ROUND(TAN(RADIANS(CSV_Import!S120))*((Auswertung!$C$7/2)*100-Auswertung!$C$8),3)</f>
        <v>0</v>
      </c>
      <c r="H122">
        <f>ROUND(TAN(RADIANS(CSV_Import!E120))*((Auswertung!$C$7/2)*100-Auswertung!$C$8),3)</f>
        <v>0</v>
      </c>
      <c r="I122">
        <f>ROUND(TAN(RADIANS(CSV_Import!V120))*((Auswertung!$C$7/2)*100-Auswertung!$C$8),3)</f>
        <v>0</v>
      </c>
      <c r="K122">
        <f>(CSV_Import!$N$2-CSV_Import!N120)</f>
        <v>0</v>
      </c>
      <c r="L122">
        <f>(CSV_Import!$AE$2-CSV_Import!AE120)</f>
        <v>0</v>
      </c>
    </row>
    <row r="123" spans="2:12" x14ac:dyDescent="0.3">
      <c r="B123">
        <f>(CSV_Import!G121-CSV_Import!$G$2)/1000</f>
        <v>0</v>
      </c>
      <c r="D123">
        <f>ROUND(TAN(RADIANS(CSV_Import!D121))*((Auswertung!$C$7*100)/2-Auswertung!$C$8),3)</f>
        <v>0</v>
      </c>
      <c r="E123">
        <f>ROUND(TAN(RADIANS(CSV_Import!U121))*((Auswertung!$C$7/2)*100-Auswertung!$C$8),3)</f>
        <v>0</v>
      </c>
      <c r="F123">
        <f>ROUND(TAN(RADIANS(CSV_Import!B121))*((Auswertung!$C$7/2)*100-Auswertung!$C$8),3)</f>
        <v>0</v>
      </c>
      <c r="G123">
        <f>ROUND(TAN(RADIANS(CSV_Import!S121))*((Auswertung!$C$7/2)*100-Auswertung!$C$8),3)</f>
        <v>0</v>
      </c>
      <c r="H123">
        <f>ROUND(TAN(RADIANS(CSV_Import!E121))*((Auswertung!$C$7/2)*100-Auswertung!$C$8),3)</f>
        <v>0</v>
      </c>
      <c r="I123">
        <f>ROUND(TAN(RADIANS(CSV_Import!V121))*((Auswertung!$C$7/2)*100-Auswertung!$C$8),3)</f>
        <v>0</v>
      </c>
      <c r="K123">
        <f>(CSV_Import!$N$2-CSV_Import!N121)</f>
        <v>0</v>
      </c>
      <c r="L123">
        <f>(CSV_Import!$AE$2-CSV_Import!AE121)</f>
        <v>0</v>
      </c>
    </row>
    <row r="124" spans="2:12" x14ac:dyDescent="0.3">
      <c r="B124">
        <f>(CSV_Import!G122-CSV_Import!$G$2)/1000</f>
        <v>0</v>
      </c>
      <c r="D124">
        <f>ROUND(TAN(RADIANS(CSV_Import!D122))*((Auswertung!$C$7*100)/2-Auswertung!$C$8),3)</f>
        <v>0</v>
      </c>
      <c r="E124">
        <f>ROUND(TAN(RADIANS(CSV_Import!U122))*((Auswertung!$C$7/2)*100-Auswertung!$C$8),3)</f>
        <v>0</v>
      </c>
      <c r="F124">
        <f>ROUND(TAN(RADIANS(CSV_Import!B122))*((Auswertung!$C$7/2)*100-Auswertung!$C$8),3)</f>
        <v>0</v>
      </c>
      <c r="G124">
        <f>ROUND(TAN(RADIANS(CSV_Import!S122))*((Auswertung!$C$7/2)*100-Auswertung!$C$8),3)</f>
        <v>0</v>
      </c>
      <c r="H124">
        <f>ROUND(TAN(RADIANS(CSV_Import!E122))*((Auswertung!$C$7/2)*100-Auswertung!$C$8),3)</f>
        <v>0</v>
      </c>
      <c r="I124">
        <f>ROUND(TAN(RADIANS(CSV_Import!V122))*((Auswertung!$C$7/2)*100-Auswertung!$C$8),3)</f>
        <v>0</v>
      </c>
      <c r="K124">
        <f>(CSV_Import!$N$2-CSV_Import!N122)</f>
        <v>0</v>
      </c>
      <c r="L124">
        <f>(CSV_Import!$AE$2-CSV_Import!AE122)</f>
        <v>0</v>
      </c>
    </row>
    <row r="125" spans="2:12" x14ac:dyDescent="0.3">
      <c r="B125">
        <f>(CSV_Import!G123-CSV_Import!$G$2)/1000</f>
        <v>0</v>
      </c>
      <c r="D125">
        <f>ROUND(TAN(RADIANS(CSV_Import!D123))*((Auswertung!$C$7*100)/2-Auswertung!$C$8),3)</f>
        <v>0</v>
      </c>
      <c r="E125">
        <f>ROUND(TAN(RADIANS(CSV_Import!U123))*((Auswertung!$C$7/2)*100-Auswertung!$C$8),3)</f>
        <v>0</v>
      </c>
      <c r="F125">
        <f>ROUND(TAN(RADIANS(CSV_Import!B123))*((Auswertung!$C$7/2)*100-Auswertung!$C$8),3)</f>
        <v>0</v>
      </c>
      <c r="G125">
        <f>ROUND(TAN(RADIANS(CSV_Import!S123))*((Auswertung!$C$7/2)*100-Auswertung!$C$8),3)</f>
        <v>0</v>
      </c>
      <c r="H125">
        <f>ROUND(TAN(RADIANS(CSV_Import!E123))*((Auswertung!$C$7/2)*100-Auswertung!$C$8),3)</f>
        <v>0</v>
      </c>
      <c r="I125">
        <f>ROUND(TAN(RADIANS(CSV_Import!V123))*((Auswertung!$C$7/2)*100-Auswertung!$C$8),3)</f>
        <v>0</v>
      </c>
      <c r="K125">
        <f>(CSV_Import!$N$2-CSV_Import!N123)</f>
        <v>0</v>
      </c>
      <c r="L125">
        <f>(CSV_Import!$AE$2-CSV_Import!AE123)</f>
        <v>0</v>
      </c>
    </row>
    <row r="126" spans="2:12" x14ac:dyDescent="0.3">
      <c r="B126">
        <f>(CSV_Import!G124-CSV_Import!$G$2)/1000</f>
        <v>0</v>
      </c>
      <c r="D126">
        <f>ROUND(TAN(RADIANS(CSV_Import!D124))*((Auswertung!$C$7*100)/2-Auswertung!$C$8),3)</f>
        <v>0</v>
      </c>
      <c r="E126">
        <f>ROUND(TAN(RADIANS(CSV_Import!U124))*((Auswertung!$C$7/2)*100-Auswertung!$C$8),3)</f>
        <v>0</v>
      </c>
      <c r="F126">
        <f>ROUND(TAN(RADIANS(CSV_Import!B124))*((Auswertung!$C$7/2)*100-Auswertung!$C$8),3)</f>
        <v>0</v>
      </c>
      <c r="G126">
        <f>ROUND(TAN(RADIANS(CSV_Import!S124))*((Auswertung!$C$7/2)*100-Auswertung!$C$8),3)</f>
        <v>0</v>
      </c>
      <c r="H126">
        <f>ROUND(TAN(RADIANS(CSV_Import!E124))*((Auswertung!$C$7/2)*100-Auswertung!$C$8),3)</f>
        <v>0</v>
      </c>
      <c r="I126">
        <f>ROUND(TAN(RADIANS(CSV_Import!V124))*((Auswertung!$C$7/2)*100-Auswertung!$C$8),3)</f>
        <v>0</v>
      </c>
      <c r="K126">
        <f>(CSV_Import!$N$2-CSV_Import!N124)</f>
        <v>0</v>
      </c>
      <c r="L126">
        <f>(CSV_Import!$AE$2-CSV_Import!AE124)</f>
        <v>0</v>
      </c>
    </row>
    <row r="127" spans="2:12" x14ac:dyDescent="0.3">
      <c r="B127">
        <f>(CSV_Import!G125-CSV_Import!$G$2)/1000</f>
        <v>0</v>
      </c>
      <c r="D127">
        <f>ROUND(TAN(RADIANS(CSV_Import!D125))*((Auswertung!$C$7*100)/2-Auswertung!$C$8),3)</f>
        <v>0</v>
      </c>
      <c r="E127">
        <f>ROUND(TAN(RADIANS(CSV_Import!U125))*((Auswertung!$C$7/2)*100-Auswertung!$C$8),3)</f>
        <v>0</v>
      </c>
      <c r="F127">
        <f>ROUND(TAN(RADIANS(CSV_Import!B125))*((Auswertung!$C$7/2)*100-Auswertung!$C$8),3)</f>
        <v>0</v>
      </c>
      <c r="G127">
        <f>ROUND(TAN(RADIANS(CSV_Import!S125))*((Auswertung!$C$7/2)*100-Auswertung!$C$8),3)</f>
        <v>0</v>
      </c>
      <c r="H127">
        <f>ROUND(TAN(RADIANS(CSV_Import!E125))*((Auswertung!$C$7/2)*100-Auswertung!$C$8),3)</f>
        <v>0</v>
      </c>
      <c r="I127">
        <f>ROUND(TAN(RADIANS(CSV_Import!V125))*((Auswertung!$C$7/2)*100-Auswertung!$C$8),3)</f>
        <v>0</v>
      </c>
      <c r="K127">
        <f>(CSV_Import!$N$2-CSV_Import!N125)</f>
        <v>0</v>
      </c>
      <c r="L127">
        <f>(CSV_Import!$AE$2-CSV_Import!AE125)</f>
        <v>0</v>
      </c>
    </row>
    <row r="128" spans="2:12" x14ac:dyDescent="0.3">
      <c r="B128">
        <f>(CSV_Import!G126-CSV_Import!$G$2)/1000</f>
        <v>0</v>
      </c>
      <c r="D128">
        <f>ROUND(TAN(RADIANS(CSV_Import!D126))*((Auswertung!$C$7*100)/2-Auswertung!$C$8),3)</f>
        <v>0</v>
      </c>
      <c r="E128">
        <f>ROUND(TAN(RADIANS(CSV_Import!U126))*((Auswertung!$C$7/2)*100-Auswertung!$C$8),3)</f>
        <v>0</v>
      </c>
      <c r="F128">
        <f>ROUND(TAN(RADIANS(CSV_Import!B126))*((Auswertung!$C$7/2)*100-Auswertung!$C$8),3)</f>
        <v>0</v>
      </c>
      <c r="G128">
        <f>ROUND(TAN(RADIANS(CSV_Import!S126))*((Auswertung!$C$7/2)*100-Auswertung!$C$8),3)</f>
        <v>0</v>
      </c>
      <c r="H128">
        <f>ROUND(TAN(RADIANS(CSV_Import!E126))*((Auswertung!$C$7/2)*100-Auswertung!$C$8),3)</f>
        <v>0</v>
      </c>
      <c r="I128">
        <f>ROUND(TAN(RADIANS(CSV_Import!V126))*((Auswertung!$C$7/2)*100-Auswertung!$C$8),3)</f>
        <v>0</v>
      </c>
      <c r="K128">
        <f>(CSV_Import!$N$2-CSV_Import!N126)</f>
        <v>0</v>
      </c>
      <c r="L128">
        <f>(CSV_Import!$AE$2-CSV_Import!AE126)</f>
        <v>0</v>
      </c>
    </row>
    <row r="129" spans="2:12" x14ac:dyDescent="0.3">
      <c r="B129">
        <f>(CSV_Import!G127-CSV_Import!$G$2)/1000</f>
        <v>0</v>
      </c>
      <c r="D129">
        <f>ROUND(TAN(RADIANS(CSV_Import!D127))*((Auswertung!$C$7*100)/2-Auswertung!$C$8),3)</f>
        <v>0</v>
      </c>
      <c r="E129">
        <f>ROUND(TAN(RADIANS(CSV_Import!U127))*((Auswertung!$C$7/2)*100-Auswertung!$C$8),3)</f>
        <v>0</v>
      </c>
      <c r="F129">
        <f>ROUND(TAN(RADIANS(CSV_Import!B127))*((Auswertung!$C$7/2)*100-Auswertung!$C$8),3)</f>
        <v>0</v>
      </c>
      <c r="G129">
        <f>ROUND(TAN(RADIANS(CSV_Import!S127))*((Auswertung!$C$7/2)*100-Auswertung!$C$8),3)</f>
        <v>0</v>
      </c>
      <c r="H129">
        <f>ROUND(TAN(RADIANS(CSV_Import!E127))*((Auswertung!$C$7/2)*100-Auswertung!$C$8),3)</f>
        <v>0</v>
      </c>
      <c r="I129">
        <f>ROUND(TAN(RADIANS(CSV_Import!V127))*((Auswertung!$C$7/2)*100-Auswertung!$C$8),3)</f>
        <v>0</v>
      </c>
      <c r="K129">
        <f>(CSV_Import!$N$2-CSV_Import!N127)</f>
        <v>0</v>
      </c>
      <c r="L129">
        <f>(CSV_Import!$AE$2-CSV_Import!AE127)</f>
        <v>0</v>
      </c>
    </row>
    <row r="130" spans="2:12" x14ac:dyDescent="0.3">
      <c r="B130">
        <f>(CSV_Import!G128-CSV_Import!$G$2)/1000</f>
        <v>0</v>
      </c>
      <c r="D130">
        <f>ROUND(TAN(RADIANS(CSV_Import!D128))*((Auswertung!$C$7*100)/2-Auswertung!$C$8),3)</f>
        <v>0</v>
      </c>
      <c r="E130">
        <f>ROUND(TAN(RADIANS(CSV_Import!U128))*((Auswertung!$C$7/2)*100-Auswertung!$C$8),3)</f>
        <v>0</v>
      </c>
      <c r="F130">
        <f>ROUND(TAN(RADIANS(CSV_Import!B128))*((Auswertung!$C$7/2)*100-Auswertung!$C$8),3)</f>
        <v>0</v>
      </c>
      <c r="G130">
        <f>ROUND(TAN(RADIANS(CSV_Import!S128))*((Auswertung!$C$7/2)*100-Auswertung!$C$8),3)</f>
        <v>0</v>
      </c>
      <c r="H130">
        <f>ROUND(TAN(RADIANS(CSV_Import!E128))*((Auswertung!$C$7/2)*100-Auswertung!$C$8),3)</f>
        <v>0</v>
      </c>
      <c r="I130">
        <f>ROUND(TAN(RADIANS(CSV_Import!V128))*((Auswertung!$C$7/2)*100-Auswertung!$C$8),3)</f>
        <v>0</v>
      </c>
      <c r="K130">
        <f>(CSV_Import!$N$2-CSV_Import!N128)</f>
        <v>0</v>
      </c>
      <c r="L130">
        <f>(CSV_Import!$AE$2-CSV_Import!AE128)</f>
        <v>0</v>
      </c>
    </row>
    <row r="131" spans="2:12" x14ac:dyDescent="0.3">
      <c r="B131">
        <f>(CSV_Import!G129-CSV_Import!$G$2)/1000</f>
        <v>0</v>
      </c>
      <c r="D131">
        <f>ROUND(TAN(RADIANS(CSV_Import!D129))*((Auswertung!$C$7*100)/2-Auswertung!$C$8),3)</f>
        <v>0</v>
      </c>
      <c r="E131">
        <f>ROUND(TAN(RADIANS(CSV_Import!U129))*((Auswertung!$C$7/2)*100-Auswertung!$C$8),3)</f>
        <v>0</v>
      </c>
      <c r="F131">
        <f>ROUND(TAN(RADIANS(CSV_Import!B129))*((Auswertung!$C$7/2)*100-Auswertung!$C$8),3)</f>
        <v>0</v>
      </c>
      <c r="G131">
        <f>ROUND(TAN(RADIANS(CSV_Import!S129))*((Auswertung!$C$7/2)*100-Auswertung!$C$8),3)</f>
        <v>0</v>
      </c>
      <c r="H131">
        <f>ROUND(TAN(RADIANS(CSV_Import!E129))*((Auswertung!$C$7/2)*100-Auswertung!$C$8),3)</f>
        <v>0</v>
      </c>
      <c r="I131">
        <f>ROUND(TAN(RADIANS(CSV_Import!V129))*((Auswertung!$C$7/2)*100-Auswertung!$C$8),3)</f>
        <v>0</v>
      </c>
      <c r="K131">
        <f>(CSV_Import!$N$2-CSV_Import!N129)</f>
        <v>0</v>
      </c>
      <c r="L131">
        <f>(CSV_Import!$AE$2-CSV_Import!AE129)</f>
        <v>0</v>
      </c>
    </row>
    <row r="132" spans="2:12" x14ac:dyDescent="0.3">
      <c r="B132">
        <f>(CSV_Import!G130-CSV_Import!$G$2)/1000</f>
        <v>0</v>
      </c>
      <c r="D132">
        <f>ROUND(TAN(RADIANS(CSV_Import!D130))*((Auswertung!$C$7*100)/2-Auswertung!$C$8),3)</f>
        <v>0</v>
      </c>
      <c r="E132">
        <f>ROUND(TAN(RADIANS(CSV_Import!U130))*((Auswertung!$C$7/2)*100-Auswertung!$C$8),3)</f>
        <v>0</v>
      </c>
      <c r="F132">
        <f>ROUND(TAN(RADIANS(CSV_Import!B130))*((Auswertung!$C$7/2)*100-Auswertung!$C$8),3)</f>
        <v>0</v>
      </c>
      <c r="G132">
        <f>ROUND(TAN(RADIANS(CSV_Import!S130))*((Auswertung!$C$7/2)*100-Auswertung!$C$8),3)</f>
        <v>0</v>
      </c>
      <c r="H132">
        <f>ROUND(TAN(RADIANS(CSV_Import!E130))*((Auswertung!$C$7/2)*100-Auswertung!$C$8),3)</f>
        <v>0</v>
      </c>
      <c r="I132">
        <f>ROUND(TAN(RADIANS(CSV_Import!V130))*((Auswertung!$C$7/2)*100-Auswertung!$C$8),3)</f>
        <v>0</v>
      </c>
      <c r="K132">
        <f>(CSV_Import!$N$2-CSV_Import!N130)</f>
        <v>0</v>
      </c>
      <c r="L132">
        <f>(CSV_Import!$AE$2-CSV_Import!AE130)</f>
        <v>0</v>
      </c>
    </row>
    <row r="133" spans="2:12" x14ac:dyDescent="0.3">
      <c r="B133">
        <f>(CSV_Import!G131-CSV_Import!$G$2)/1000</f>
        <v>0</v>
      </c>
      <c r="D133">
        <f>ROUND(TAN(RADIANS(CSV_Import!D131))*((Auswertung!$C$7*100)/2-Auswertung!$C$8),3)</f>
        <v>0</v>
      </c>
      <c r="E133">
        <f>ROUND(TAN(RADIANS(CSV_Import!U131))*((Auswertung!$C$7/2)*100-Auswertung!$C$8),3)</f>
        <v>0</v>
      </c>
      <c r="F133">
        <f>ROUND(TAN(RADIANS(CSV_Import!B131))*((Auswertung!$C$7/2)*100-Auswertung!$C$8),3)</f>
        <v>0</v>
      </c>
      <c r="G133">
        <f>ROUND(TAN(RADIANS(CSV_Import!S131))*((Auswertung!$C$7/2)*100-Auswertung!$C$8),3)</f>
        <v>0</v>
      </c>
      <c r="H133">
        <f>ROUND(TAN(RADIANS(CSV_Import!E131))*((Auswertung!$C$7/2)*100-Auswertung!$C$8),3)</f>
        <v>0</v>
      </c>
      <c r="I133">
        <f>ROUND(TAN(RADIANS(CSV_Import!V131))*((Auswertung!$C$7/2)*100-Auswertung!$C$8),3)</f>
        <v>0</v>
      </c>
      <c r="K133">
        <f>(CSV_Import!$N$2-CSV_Import!N131)</f>
        <v>0</v>
      </c>
      <c r="L133">
        <f>(CSV_Import!$AE$2-CSV_Import!AE131)</f>
        <v>0</v>
      </c>
    </row>
    <row r="134" spans="2:12" x14ac:dyDescent="0.3">
      <c r="B134">
        <f>(CSV_Import!G132-CSV_Import!$G$2)/1000</f>
        <v>0</v>
      </c>
      <c r="D134">
        <f>ROUND(TAN(RADIANS(CSV_Import!D132))*((Auswertung!$C$7*100)/2-Auswertung!$C$8),3)</f>
        <v>0</v>
      </c>
      <c r="E134">
        <f>ROUND(TAN(RADIANS(CSV_Import!U132))*((Auswertung!$C$7/2)*100-Auswertung!$C$8),3)</f>
        <v>0</v>
      </c>
      <c r="F134">
        <f>ROUND(TAN(RADIANS(CSV_Import!B132))*((Auswertung!$C$7/2)*100-Auswertung!$C$8),3)</f>
        <v>0</v>
      </c>
      <c r="G134">
        <f>ROUND(TAN(RADIANS(CSV_Import!S132))*((Auswertung!$C$7/2)*100-Auswertung!$C$8),3)</f>
        <v>0</v>
      </c>
      <c r="H134">
        <f>ROUND(TAN(RADIANS(CSV_Import!E132))*((Auswertung!$C$7/2)*100-Auswertung!$C$8),3)</f>
        <v>0</v>
      </c>
      <c r="I134">
        <f>ROUND(TAN(RADIANS(CSV_Import!V132))*((Auswertung!$C$7/2)*100-Auswertung!$C$8),3)</f>
        <v>0</v>
      </c>
      <c r="K134">
        <f>(CSV_Import!$N$2-CSV_Import!N132)</f>
        <v>0</v>
      </c>
      <c r="L134">
        <f>(CSV_Import!$AE$2-CSV_Import!AE132)</f>
        <v>0</v>
      </c>
    </row>
    <row r="135" spans="2:12" x14ac:dyDescent="0.3">
      <c r="B135">
        <f>(CSV_Import!G133-CSV_Import!$G$2)/1000</f>
        <v>0</v>
      </c>
      <c r="D135">
        <f>ROUND(TAN(RADIANS(CSV_Import!D133))*((Auswertung!$C$7*100)/2-Auswertung!$C$8),3)</f>
        <v>0</v>
      </c>
      <c r="E135">
        <f>ROUND(TAN(RADIANS(CSV_Import!U133))*((Auswertung!$C$7/2)*100-Auswertung!$C$8),3)</f>
        <v>0</v>
      </c>
      <c r="F135">
        <f>ROUND(TAN(RADIANS(CSV_Import!B133))*((Auswertung!$C$7/2)*100-Auswertung!$C$8),3)</f>
        <v>0</v>
      </c>
      <c r="G135">
        <f>ROUND(TAN(RADIANS(CSV_Import!S133))*((Auswertung!$C$7/2)*100-Auswertung!$C$8),3)</f>
        <v>0</v>
      </c>
      <c r="H135">
        <f>ROUND(TAN(RADIANS(CSV_Import!E133))*((Auswertung!$C$7/2)*100-Auswertung!$C$8),3)</f>
        <v>0</v>
      </c>
      <c r="I135">
        <f>ROUND(TAN(RADIANS(CSV_Import!V133))*((Auswertung!$C$7/2)*100-Auswertung!$C$8),3)</f>
        <v>0</v>
      </c>
      <c r="K135">
        <f>(CSV_Import!$N$2-CSV_Import!N133)</f>
        <v>0</v>
      </c>
      <c r="L135">
        <f>(CSV_Import!$AE$2-CSV_Import!AE133)</f>
        <v>0</v>
      </c>
    </row>
    <row r="136" spans="2:12" x14ac:dyDescent="0.3">
      <c r="B136">
        <f>(CSV_Import!G134-CSV_Import!$G$2)/1000</f>
        <v>0</v>
      </c>
      <c r="D136">
        <f>ROUND(TAN(RADIANS(CSV_Import!D134))*((Auswertung!$C$7*100)/2-Auswertung!$C$8),3)</f>
        <v>0</v>
      </c>
      <c r="E136">
        <f>ROUND(TAN(RADIANS(CSV_Import!U134))*((Auswertung!$C$7/2)*100-Auswertung!$C$8),3)</f>
        <v>0</v>
      </c>
      <c r="F136">
        <f>ROUND(TAN(RADIANS(CSV_Import!B134))*((Auswertung!$C$7/2)*100-Auswertung!$C$8),3)</f>
        <v>0</v>
      </c>
      <c r="G136">
        <f>ROUND(TAN(RADIANS(CSV_Import!S134))*((Auswertung!$C$7/2)*100-Auswertung!$C$8),3)</f>
        <v>0</v>
      </c>
      <c r="H136">
        <f>ROUND(TAN(RADIANS(CSV_Import!E134))*((Auswertung!$C$7/2)*100-Auswertung!$C$8),3)</f>
        <v>0</v>
      </c>
      <c r="I136">
        <f>ROUND(TAN(RADIANS(CSV_Import!V134))*((Auswertung!$C$7/2)*100-Auswertung!$C$8),3)</f>
        <v>0</v>
      </c>
      <c r="K136">
        <f>(CSV_Import!$N$2-CSV_Import!N134)</f>
        <v>0</v>
      </c>
      <c r="L136">
        <f>(CSV_Import!$AE$2-CSV_Import!AE134)</f>
        <v>0</v>
      </c>
    </row>
    <row r="137" spans="2:12" x14ac:dyDescent="0.3">
      <c r="B137">
        <f>(CSV_Import!G135-CSV_Import!$G$2)/1000</f>
        <v>0</v>
      </c>
      <c r="D137">
        <f>ROUND(TAN(RADIANS(CSV_Import!D135))*((Auswertung!$C$7*100)/2-Auswertung!$C$8),3)</f>
        <v>0</v>
      </c>
      <c r="E137">
        <f>ROUND(TAN(RADIANS(CSV_Import!U135))*((Auswertung!$C$7/2)*100-Auswertung!$C$8),3)</f>
        <v>0</v>
      </c>
      <c r="F137">
        <f>ROUND(TAN(RADIANS(CSV_Import!B135))*((Auswertung!$C$7/2)*100-Auswertung!$C$8),3)</f>
        <v>0</v>
      </c>
      <c r="G137">
        <f>ROUND(TAN(RADIANS(CSV_Import!S135))*((Auswertung!$C$7/2)*100-Auswertung!$C$8),3)</f>
        <v>0</v>
      </c>
      <c r="H137">
        <f>ROUND(TAN(RADIANS(CSV_Import!E135))*((Auswertung!$C$7/2)*100-Auswertung!$C$8),3)</f>
        <v>0</v>
      </c>
      <c r="I137">
        <f>ROUND(TAN(RADIANS(CSV_Import!V135))*((Auswertung!$C$7/2)*100-Auswertung!$C$8),3)</f>
        <v>0</v>
      </c>
      <c r="K137">
        <f>(CSV_Import!$N$2-CSV_Import!N135)</f>
        <v>0</v>
      </c>
      <c r="L137">
        <f>(CSV_Import!$AE$2-CSV_Import!AE135)</f>
        <v>0</v>
      </c>
    </row>
    <row r="138" spans="2:12" x14ac:dyDescent="0.3">
      <c r="B138">
        <f>(CSV_Import!G136-CSV_Import!$G$2)/1000</f>
        <v>0</v>
      </c>
      <c r="D138">
        <f>ROUND(TAN(RADIANS(CSV_Import!D136))*((Auswertung!$C$7*100)/2-Auswertung!$C$8),3)</f>
        <v>0</v>
      </c>
      <c r="E138">
        <f>ROUND(TAN(RADIANS(CSV_Import!U136))*((Auswertung!$C$7/2)*100-Auswertung!$C$8),3)</f>
        <v>0</v>
      </c>
      <c r="F138">
        <f>ROUND(TAN(RADIANS(CSV_Import!B136))*((Auswertung!$C$7/2)*100-Auswertung!$C$8),3)</f>
        <v>0</v>
      </c>
      <c r="G138">
        <f>ROUND(TAN(RADIANS(CSV_Import!S136))*((Auswertung!$C$7/2)*100-Auswertung!$C$8),3)</f>
        <v>0</v>
      </c>
      <c r="H138">
        <f>ROUND(TAN(RADIANS(CSV_Import!E136))*((Auswertung!$C$7/2)*100-Auswertung!$C$8),3)</f>
        <v>0</v>
      </c>
      <c r="I138">
        <f>ROUND(TAN(RADIANS(CSV_Import!V136))*((Auswertung!$C$7/2)*100-Auswertung!$C$8),3)</f>
        <v>0</v>
      </c>
      <c r="K138">
        <f>(CSV_Import!$N$2-CSV_Import!N136)</f>
        <v>0</v>
      </c>
      <c r="L138">
        <f>(CSV_Import!$AE$2-CSV_Import!AE136)</f>
        <v>0</v>
      </c>
    </row>
    <row r="139" spans="2:12" x14ac:dyDescent="0.3">
      <c r="B139">
        <f>(CSV_Import!G137-CSV_Import!$G$2)/1000</f>
        <v>0</v>
      </c>
      <c r="D139">
        <f>ROUND(TAN(RADIANS(CSV_Import!D137))*((Auswertung!$C$7*100)/2-Auswertung!$C$8),3)</f>
        <v>0</v>
      </c>
      <c r="E139">
        <f>ROUND(TAN(RADIANS(CSV_Import!U137))*((Auswertung!$C$7/2)*100-Auswertung!$C$8),3)</f>
        <v>0</v>
      </c>
      <c r="F139">
        <f>ROUND(TAN(RADIANS(CSV_Import!B137))*((Auswertung!$C$7/2)*100-Auswertung!$C$8),3)</f>
        <v>0</v>
      </c>
      <c r="G139">
        <f>ROUND(TAN(RADIANS(CSV_Import!S137))*((Auswertung!$C$7/2)*100-Auswertung!$C$8),3)</f>
        <v>0</v>
      </c>
      <c r="H139">
        <f>ROUND(TAN(RADIANS(CSV_Import!E137))*((Auswertung!$C$7/2)*100-Auswertung!$C$8),3)</f>
        <v>0</v>
      </c>
      <c r="I139">
        <f>ROUND(TAN(RADIANS(CSV_Import!V137))*((Auswertung!$C$7/2)*100-Auswertung!$C$8),3)</f>
        <v>0</v>
      </c>
      <c r="K139">
        <f>(CSV_Import!$N$2-CSV_Import!N137)</f>
        <v>0</v>
      </c>
      <c r="L139">
        <f>(CSV_Import!$AE$2-CSV_Import!AE137)</f>
        <v>0</v>
      </c>
    </row>
    <row r="140" spans="2:12" x14ac:dyDescent="0.3">
      <c r="B140">
        <f>(CSV_Import!G138-CSV_Import!$G$2)/1000</f>
        <v>0</v>
      </c>
      <c r="D140">
        <f>ROUND(TAN(RADIANS(CSV_Import!D138))*((Auswertung!$C$7*100)/2-Auswertung!$C$8),3)</f>
        <v>0</v>
      </c>
      <c r="E140">
        <f>ROUND(TAN(RADIANS(CSV_Import!U138))*((Auswertung!$C$7/2)*100-Auswertung!$C$8),3)</f>
        <v>0</v>
      </c>
      <c r="F140">
        <f>ROUND(TAN(RADIANS(CSV_Import!B138))*((Auswertung!$C$7/2)*100-Auswertung!$C$8),3)</f>
        <v>0</v>
      </c>
      <c r="G140">
        <f>ROUND(TAN(RADIANS(CSV_Import!S138))*((Auswertung!$C$7/2)*100-Auswertung!$C$8),3)</f>
        <v>0</v>
      </c>
      <c r="H140">
        <f>ROUND(TAN(RADIANS(CSV_Import!E138))*((Auswertung!$C$7/2)*100-Auswertung!$C$8),3)</f>
        <v>0</v>
      </c>
      <c r="I140">
        <f>ROUND(TAN(RADIANS(CSV_Import!V138))*((Auswertung!$C$7/2)*100-Auswertung!$C$8),3)</f>
        <v>0</v>
      </c>
      <c r="K140">
        <f>(CSV_Import!$N$2-CSV_Import!N138)</f>
        <v>0</v>
      </c>
      <c r="L140">
        <f>(CSV_Import!$AE$2-CSV_Import!AE138)</f>
        <v>0</v>
      </c>
    </row>
    <row r="141" spans="2:12" x14ac:dyDescent="0.3">
      <c r="B141">
        <f>(CSV_Import!G139-CSV_Import!$G$2)/1000</f>
        <v>0</v>
      </c>
      <c r="D141">
        <f>ROUND(TAN(RADIANS(CSV_Import!D139))*((Auswertung!$C$7*100)/2-Auswertung!$C$8),3)</f>
        <v>0</v>
      </c>
      <c r="E141">
        <f>ROUND(TAN(RADIANS(CSV_Import!U139))*((Auswertung!$C$7/2)*100-Auswertung!$C$8),3)</f>
        <v>0</v>
      </c>
      <c r="F141">
        <f>ROUND(TAN(RADIANS(CSV_Import!B139))*((Auswertung!$C$7/2)*100-Auswertung!$C$8),3)</f>
        <v>0</v>
      </c>
      <c r="G141">
        <f>ROUND(TAN(RADIANS(CSV_Import!S139))*((Auswertung!$C$7/2)*100-Auswertung!$C$8),3)</f>
        <v>0</v>
      </c>
      <c r="H141">
        <f>ROUND(TAN(RADIANS(CSV_Import!E139))*((Auswertung!$C$7/2)*100-Auswertung!$C$8),3)</f>
        <v>0</v>
      </c>
      <c r="I141">
        <f>ROUND(TAN(RADIANS(CSV_Import!V139))*((Auswertung!$C$7/2)*100-Auswertung!$C$8),3)</f>
        <v>0</v>
      </c>
      <c r="K141">
        <f>(CSV_Import!$N$2-CSV_Import!N139)</f>
        <v>0</v>
      </c>
      <c r="L141">
        <f>(CSV_Import!$AE$2-CSV_Import!AE139)</f>
        <v>0</v>
      </c>
    </row>
    <row r="142" spans="2:12" x14ac:dyDescent="0.3">
      <c r="B142">
        <f>(CSV_Import!G140-CSV_Import!$G$2)/1000</f>
        <v>0</v>
      </c>
      <c r="D142">
        <f>ROUND(TAN(RADIANS(CSV_Import!D140))*((Auswertung!$C$7*100)/2-Auswertung!$C$8),3)</f>
        <v>0</v>
      </c>
      <c r="E142">
        <f>ROUND(TAN(RADIANS(CSV_Import!U140))*((Auswertung!$C$7/2)*100-Auswertung!$C$8),3)</f>
        <v>0</v>
      </c>
      <c r="F142">
        <f>ROUND(TAN(RADIANS(CSV_Import!B140))*((Auswertung!$C$7/2)*100-Auswertung!$C$8),3)</f>
        <v>0</v>
      </c>
      <c r="G142">
        <f>ROUND(TAN(RADIANS(CSV_Import!S140))*((Auswertung!$C$7/2)*100-Auswertung!$C$8),3)</f>
        <v>0</v>
      </c>
      <c r="H142">
        <f>ROUND(TAN(RADIANS(CSV_Import!E140))*((Auswertung!$C$7/2)*100-Auswertung!$C$8),3)</f>
        <v>0</v>
      </c>
      <c r="I142">
        <f>ROUND(TAN(RADIANS(CSV_Import!V140))*((Auswertung!$C$7/2)*100-Auswertung!$C$8),3)</f>
        <v>0</v>
      </c>
      <c r="K142">
        <f>(CSV_Import!$N$2-CSV_Import!N140)</f>
        <v>0</v>
      </c>
      <c r="L142">
        <f>(CSV_Import!$AE$2-CSV_Import!AE140)</f>
        <v>0</v>
      </c>
    </row>
    <row r="143" spans="2:12" x14ac:dyDescent="0.3">
      <c r="B143">
        <f>(CSV_Import!G141-CSV_Import!$G$2)/1000</f>
        <v>0</v>
      </c>
      <c r="D143">
        <f>ROUND(TAN(RADIANS(CSV_Import!D141))*((Auswertung!$C$7*100)/2-Auswertung!$C$8),3)</f>
        <v>0</v>
      </c>
      <c r="E143">
        <f>ROUND(TAN(RADIANS(CSV_Import!U141))*((Auswertung!$C$7/2)*100-Auswertung!$C$8),3)</f>
        <v>0</v>
      </c>
      <c r="F143">
        <f>ROUND(TAN(RADIANS(CSV_Import!B141))*((Auswertung!$C$7/2)*100-Auswertung!$C$8),3)</f>
        <v>0</v>
      </c>
      <c r="G143">
        <f>ROUND(TAN(RADIANS(CSV_Import!S141))*((Auswertung!$C$7/2)*100-Auswertung!$C$8),3)</f>
        <v>0</v>
      </c>
      <c r="H143">
        <f>ROUND(TAN(RADIANS(CSV_Import!E141))*((Auswertung!$C$7/2)*100-Auswertung!$C$8),3)</f>
        <v>0</v>
      </c>
      <c r="I143">
        <f>ROUND(TAN(RADIANS(CSV_Import!V141))*((Auswertung!$C$7/2)*100-Auswertung!$C$8),3)</f>
        <v>0</v>
      </c>
      <c r="K143">
        <f>(CSV_Import!$N$2-CSV_Import!N141)</f>
        <v>0</v>
      </c>
      <c r="L143">
        <f>(CSV_Import!$AE$2-CSV_Import!AE141)</f>
        <v>0</v>
      </c>
    </row>
    <row r="144" spans="2:12" x14ac:dyDescent="0.3">
      <c r="B144">
        <f>(CSV_Import!G142-CSV_Import!$G$2)/1000</f>
        <v>0</v>
      </c>
      <c r="D144">
        <f>ROUND(TAN(RADIANS(CSV_Import!D142))*((Auswertung!$C$7*100)/2-Auswertung!$C$8),3)</f>
        <v>0</v>
      </c>
      <c r="E144">
        <f>ROUND(TAN(RADIANS(CSV_Import!U142))*((Auswertung!$C$7/2)*100-Auswertung!$C$8),3)</f>
        <v>0</v>
      </c>
      <c r="F144">
        <f>ROUND(TAN(RADIANS(CSV_Import!B142))*((Auswertung!$C$7/2)*100-Auswertung!$C$8),3)</f>
        <v>0</v>
      </c>
      <c r="G144">
        <f>ROUND(TAN(RADIANS(CSV_Import!S142))*((Auswertung!$C$7/2)*100-Auswertung!$C$8),3)</f>
        <v>0</v>
      </c>
      <c r="H144">
        <f>ROUND(TAN(RADIANS(CSV_Import!E142))*((Auswertung!$C$7/2)*100-Auswertung!$C$8),3)</f>
        <v>0</v>
      </c>
      <c r="I144">
        <f>ROUND(TAN(RADIANS(CSV_Import!V142))*((Auswertung!$C$7/2)*100-Auswertung!$C$8),3)</f>
        <v>0</v>
      </c>
      <c r="K144">
        <f>(CSV_Import!$N$2-CSV_Import!N142)</f>
        <v>0</v>
      </c>
      <c r="L144">
        <f>(CSV_Import!$AE$2-CSV_Import!AE142)</f>
        <v>0</v>
      </c>
    </row>
    <row r="145" spans="2:12" x14ac:dyDescent="0.3">
      <c r="B145">
        <f>(CSV_Import!G143-CSV_Import!$G$2)/1000</f>
        <v>0</v>
      </c>
      <c r="D145">
        <f>ROUND(TAN(RADIANS(CSV_Import!D143))*((Auswertung!$C$7*100)/2-Auswertung!$C$8),3)</f>
        <v>0</v>
      </c>
      <c r="E145">
        <f>ROUND(TAN(RADIANS(CSV_Import!U143))*((Auswertung!$C$7/2)*100-Auswertung!$C$8),3)</f>
        <v>0</v>
      </c>
      <c r="F145">
        <f>ROUND(TAN(RADIANS(CSV_Import!B143))*((Auswertung!$C$7/2)*100-Auswertung!$C$8),3)</f>
        <v>0</v>
      </c>
      <c r="G145">
        <f>ROUND(TAN(RADIANS(CSV_Import!S143))*((Auswertung!$C$7/2)*100-Auswertung!$C$8),3)</f>
        <v>0</v>
      </c>
      <c r="H145">
        <f>ROUND(TAN(RADIANS(CSV_Import!E143))*((Auswertung!$C$7/2)*100-Auswertung!$C$8),3)</f>
        <v>0</v>
      </c>
      <c r="I145">
        <f>ROUND(TAN(RADIANS(CSV_Import!V143))*((Auswertung!$C$7/2)*100-Auswertung!$C$8),3)</f>
        <v>0</v>
      </c>
      <c r="K145">
        <f>(CSV_Import!$N$2-CSV_Import!N143)</f>
        <v>0</v>
      </c>
      <c r="L145">
        <f>(CSV_Import!$AE$2-CSV_Import!AE143)</f>
        <v>0</v>
      </c>
    </row>
    <row r="146" spans="2:12" x14ac:dyDescent="0.3">
      <c r="B146">
        <f>(CSV_Import!G144-CSV_Import!$G$2)/1000</f>
        <v>0</v>
      </c>
      <c r="D146">
        <f>ROUND(TAN(RADIANS(CSV_Import!D144))*((Auswertung!$C$7*100)/2-Auswertung!$C$8),3)</f>
        <v>0</v>
      </c>
      <c r="E146">
        <f>ROUND(TAN(RADIANS(CSV_Import!U144))*((Auswertung!$C$7/2)*100-Auswertung!$C$8),3)</f>
        <v>0</v>
      </c>
      <c r="F146">
        <f>ROUND(TAN(RADIANS(CSV_Import!B144))*((Auswertung!$C$7/2)*100-Auswertung!$C$8),3)</f>
        <v>0</v>
      </c>
      <c r="G146">
        <f>ROUND(TAN(RADIANS(CSV_Import!S144))*((Auswertung!$C$7/2)*100-Auswertung!$C$8),3)</f>
        <v>0</v>
      </c>
      <c r="H146">
        <f>ROUND(TAN(RADIANS(CSV_Import!E144))*((Auswertung!$C$7/2)*100-Auswertung!$C$8),3)</f>
        <v>0</v>
      </c>
      <c r="I146">
        <f>ROUND(TAN(RADIANS(CSV_Import!V144))*((Auswertung!$C$7/2)*100-Auswertung!$C$8),3)</f>
        <v>0</v>
      </c>
      <c r="K146">
        <f>(CSV_Import!$N$2-CSV_Import!N144)</f>
        <v>0</v>
      </c>
      <c r="L146">
        <f>(CSV_Import!$AE$2-CSV_Import!AE144)</f>
        <v>0</v>
      </c>
    </row>
    <row r="147" spans="2:12" x14ac:dyDescent="0.3">
      <c r="B147">
        <f>(CSV_Import!G145-CSV_Import!$G$2)/1000</f>
        <v>0</v>
      </c>
      <c r="D147">
        <f>ROUND(TAN(RADIANS(CSV_Import!D145))*((Auswertung!$C$7*100)/2-Auswertung!$C$8),3)</f>
        <v>0</v>
      </c>
      <c r="E147">
        <f>ROUND(TAN(RADIANS(CSV_Import!U145))*((Auswertung!$C$7/2)*100-Auswertung!$C$8),3)</f>
        <v>0</v>
      </c>
      <c r="F147">
        <f>ROUND(TAN(RADIANS(CSV_Import!B145))*((Auswertung!$C$7/2)*100-Auswertung!$C$8),3)</f>
        <v>0</v>
      </c>
      <c r="G147">
        <f>ROUND(TAN(RADIANS(CSV_Import!S145))*((Auswertung!$C$7/2)*100-Auswertung!$C$8),3)</f>
        <v>0</v>
      </c>
      <c r="H147">
        <f>ROUND(TAN(RADIANS(CSV_Import!E145))*((Auswertung!$C$7/2)*100-Auswertung!$C$8),3)</f>
        <v>0</v>
      </c>
      <c r="I147">
        <f>ROUND(TAN(RADIANS(CSV_Import!V145))*((Auswertung!$C$7/2)*100-Auswertung!$C$8),3)</f>
        <v>0</v>
      </c>
      <c r="K147">
        <f>(CSV_Import!$N$2-CSV_Import!N145)</f>
        <v>0</v>
      </c>
      <c r="L147">
        <f>(CSV_Import!$AE$2-CSV_Import!AE145)</f>
        <v>0</v>
      </c>
    </row>
    <row r="148" spans="2:12" x14ac:dyDescent="0.3">
      <c r="B148">
        <f>(CSV_Import!G146-CSV_Import!$G$2)/1000</f>
        <v>0</v>
      </c>
      <c r="D148">
        <f>ROUND(TAN(RADIANS(CSV_Import!D146))*((Auswertung!$C$7*100)/2-Auswertung!$C$8),3)</f>
        <v>0</v>
      </c>
      <c r="E148">
        <f>ROUND(TAN(RADIANS(CSV_Import!U146))*((Auswertung!$C$7/2)*100-Auswertung!$C$8),3)</f>
        <v>0</v>
      </c>
      <c r="F148">
        <f>ROUND(TAN(RADIANS(CSV_Import!B146))*((Auswertung!$C$7/2)*100-Auswertung!$C$8),3)</f>
        <v>0</v>
      </c>
      <c r="G148">
        <f>ROUND(TAN(RADIANS(CSV_Import!S146))*((Auswertung!$C$7/2)*100-Auswertung!$C$8),3)</f>
        <v>0</v>
      </c>
      <c r="H148">
        <f>ROUND(TAN(RADIANS(CSV_Import!E146))*((Auswertung!$C$7/2)*100-Auswertung!$C$8),3)</f>
        <v>0</v>
      </c>
      <c r="I148">
        <f>ROUND(TAN(RADIANS(CSV_Import!V146))*((Auswertung!$C$7/2)*100-Auswertung!$C$8),3)</f>
        <v>0</v>
      </c>
      <c r="K148">
        <f>(CSV_Import!$N$2-CSV_Import!N146)</f>
        <v>0</v>
      </c>
      <c r="L148">
        <f>(CSV_Import!$AE$2-CSV_Import!AE146)</f>
        <v>0</v>
      </c>
    </row>
    <row r="149" spans="2:12" x14ac:dyDescent="0.3">
      <c r="B149">
        <f>(CSV_Import!G147-CSV_Import!$G$2)/1000</f>
        <v>0</v>
      </c>
      <c r="D149">
        <f>ROUND(TAN(RADIANS(CSV_Import!D147))*((Auswertung!$C$7*100)/2-Auswertung!$C$8),3)</f>
        <v>0</v>
      </c>
      <c r="E149">
        <f>ROUND(TAN(RADIANS(CSV_Import!U147))*((Auswertung!$C$7/2)*100-Auswertung!$C$8),3)</f>
        <v>0</v>
      </c>
      <c r="F149">
        <f>ROUND(TAN(RADIANS(CSV_Import!B147))*((Auswertung!$C$7/2)*100-Auswertung!$C$8),3)</f>
        <v>0</v>
      </c>
      <c r="G149">
        <f>ROUND(TAN(RADIANS(CSV_Import!S147))*((Auswertung!$C$7/2)*100-Auswertung!$C$8),3)</f>
        <v>0</v>
      </c>
      <c r="H149">
        <f>ROUND(TAN(RADIANS(CSV_Import!E147))*((Auswertung!$C$7/2)*100-Auswertung!$C$8),3)</f>
        <v>0</v>
      </c>
      <c r="I149">
        <f>ROUND(TAN(RADIANS(CSV_Import!V147))*((Auswertung!$C$7/2)*100-Auswertung!$C$8),3)</f>
        <v>0</v>
      </c>
      <c r="K149">
        <f>(CSV_Import!$N$2-CSV_Import!N147)</f>
        <v>0</v>
      </c>
      <c r="L149">
        <f>(CSV_Import!$AE$2-CSV_Import!AE147)</f>
        <v>0</v>
      </c>
    </row>
    <row r="150" spans="2:12" x14ac:dyDescent="0.3">
      <c r="B150">
        <f>(CSV_Import!G148-CSV_Import!$G$2)/1000</f>
        <v>0</v>
      </c>
      <c r="D150">
        <f>ROUND(TAN(RADIANS(CSV_Import!D148))*((Auswertung!$C$7*100)/2-Auswertung!$C$8),3)</f>
        <v>0</v>
      </c>
      <c r="E150">
        <f>ROUND(TAN(RADIANS(CSV_Import!U148))*((Auswertung!$C$7/2)*100-Auswertung!$C$8),3)</f>
        <v>0</v>
      </c>
      <c r="F150">
        <f>ROUND(TAN(RADIANS(CSV_Import!B148))*((Auswertung!$C$7/2)*100-Auswertung!$C$8),3)</f>
        <v>0</v>
      </c>
      <c r="G150">
        <f>ROUND(TAN(RADIANS(CSV_Import!S148))*((Auswertung!$C$7/2)*100-Auswertung!$C$8),3)</f>
        <v>0</v>
      </c>
      <c r="H150">
        <f>ROUND(TAN(RADIANS(CSV_Import!E148))*((Auswertung!$C$7/2)*100-Auswertung!$C$8),3)</f>
        <v>0</v>
      </c>
      <c r="I150">
        <f>ROUND(TAN(RADIANS(CSV_Import!V148))*((Auswertung!$C$7/2)*100-Auswertung!$C$8),3)</f>
        <v>0</v>
      </c>
      <c r="K150">
        <f>(CSV_Import!$N$2-CSV_Import!N148)</f>
        <v>0</v>
      </c>
      <c r="L150">
        <f>(CSV_Import!$AE$2-CSV_Import!AE148)</f>
        <v>0</v>
      </c>
    </row>
    <row r="151" spans="2:12" x14ac:dyDescent="0.3">
      <c r="B151">
        <f>(CSV_Import!G149-CSV_Import!$G$2)/1000</f>
        <v>0</v>
      </c>
      <c r="D151">
        <f>ROUND(TAN(RADIANS(CSV_Import!D149))*((Auswertung!$C$7*100)/2-Auswertung!$C$8),3)</f>
        <v>0</v>
      </c>
      <c r="E151">
        <f>ROUND(TAN(RADIANS(CSV_Import!U149))*((Auswertung!$C$7/2)*100-Auswertung!$C$8),3)</f>
        <v>0</v>
      </c>
      <c r="F151">
        <f>ROUND(TAN(RADIANS(CSV_Import!B149))*((Auswertung!$C$7/2)*100-Auswertung!$C$8),3)</f>
        <v>0</v>
      </c>
      <c r="G151">
        <f>ROUND(TAN(RADIANS(CSV_Import!S149))*((Auswertung!$C$7/2)*100-Auswertung!$C$8),3)</f>
        <v>0</v>
      </c>
      <c r="H151">
        <f>ROUND(TAN(RADIANS(CSV_Import!E149))*((Auswertung!$C$7/2)*100-Auswertung!$C$8),3)</f>
        <v>0</v>
      </c>
      <c r="I151">
        <f>ROUND(TAN(RADIANS(CSV_Import!V149))*((Auswertung!$C$7/2)*100-Auswertung!$C$8),3)</f>
        <v>0</v>
      </c>
      <c r="K151">
        <f>(CSV_Import!$N$2-CSV_Import!N149)</f>
        <v>0</v>
      </c>
      <c r="L151">
        <f>(CSV_Import!$AE$2-CSV_Import!AE149)</f>
        <v>0</v>
      </c>
    </row>
    <row r="152" spans="2:12" x14ac:dyDescent="0.3">
      <c r="B152">
        <f>(CSV_Import!G150-CSV_Import!$G$2)/1000</f>
        <v>0</v>
      </c>
      <c r="D152">
        <f>ROUND(TAN(RADIANS(CSV_Import!D150))*((Auswertung!$C$7*100)/2-Auswertung!$C$8),3)</f>
        <v>0</v>
      </c>
      <c r="E152">
        <f>ROUND(TAN(RADIANS(CSV_Import!U150))*((Auswertung!$C$7/2)*100-Auswertung!$C$8),3)</f>
        <v>0</v>
      </c>
      <c r="F152">
        <f>ROUND(TAN(RADIANS(CSV_Import!B150))*((Auswertung!$C$7/2)*100-Auswertung!$C$8),3)</f>
        <v>0</v>
      </c>
      <c r="G152">
        <f>ROUND(TAN(RADIANS(CSV_Import!S150))*((Auswertung!$C$7/2)*100-Auswertung!$C$8),3)</f>
        <v>0</v>
      </c>
      <c r="H152">
        <f>ROUND(TAN(RADIANS(CSV_Import!E150))*((Auswertung!$C$7/2)*100-Auswertung!$C$8),3)</f>
        <v>0</v>
      </c>
      <c r="I152">
        <f>ROUND(TAN(RADIANS(CSV_Import!V150))*((Auswertung!$C$7/2)*100-Auswertung!$C$8),3)</f>
        <v>0</v>
      </c>
      <c r="K152">
        <f>(CSV_Import!$N$2-CSV_Import!N150)</f>
        <v>0</v>
      </c>
      <c r="L152">
        <f>(CSV_Import!$AE$2-CSV_Import!AE150)</f>
        <v>0</v>
      </c>
    </row>
    <row r="153" spans="2:12" x14ac:dyDescent="0.3">
      <c r="B153">
        <f>(CSV_Import!G151-CSV_Import!$G$2)/1000</f>
        <v>0</v>
      </c>
      <c r="D153">
        <f>ROUND(TAN(RADIANS(CSV_Import!D151))*((Auswertung!$C$7*100)/2-Auswertung!$C$8),3)</f>
        <v>0</v>
      </c>
      <c r="E153">
        <f>ROUND(TAN(RADIANS(CSV_Import!U151))*((Auswertung!$C$7/2)*100-Auswertung!$C$8),3)</f>
        <v>0</v>
      </c>
      <c r="F153">
        <f>ROUND(TAN(RADIANS(CSV_Import!B151))*((Auswertung!$C$7/2)*100-Auswertung!$C$8),3)</f>
        <v>0</v>
      </c>
      <c r="G153">
        <f>ROUND(TAN(RADIANS(CSV_Import!S151))*((Auswertung!$C$7/2)*100-Auswertung!$C$8),3)</f>
        <v>0</v>
      </c>
      <c r="H153">
        <f>ROUND(TAN(RADIANS(CSV_Import!E151))*((Auswertung!$C$7/2)*100-Auswertung!$C$8),3)</f>
        <v>0</v>
      </c>
      <c r="I153">
        <f>ROUND(TAN(RADIANS(CSV_Import!V151))*((Auswertung!$C$7/2)*100-Auswertung!$C$8),3)</f>
        <v>0</v>
      </c>
      <c r="K153">
        <f>(CSV_Import!$N$2-CSV_Import!N151)</f>
        <v>0</v>
      </c>
      <c r="L153">
        <f>(CSV_Import!$AE$2-CSV_Import!AE151)</f>
        <v>0</v>
      </c>
    </row>
    <row r="154" spans="2:12" x14ac:dyDescent="0.3">
      <c r="B154">
        <f>(CSV_Import!G152-CSV_Import!$G$2)/1000</f>
        <v>0</v>
      </c>
      <c r="D154">
        <f>ROUND(TAN(RADIANS(CSV_Import!D152))*((Auswertung!$C$7*100)/2-Auswertung!$C$8),3)</f>
        <v>0</v>
      </c>
      <c r="E154">
        <f>ROUND(TAN(RADIANS(CSV_Import!U152))*((Auswertung!$C$7/2)*100-Auswertung!$C$8),3)</f>
        <v>0</v>
      </c>
      <c r="F154">
        <f>ROUND(TAN(RADIANS(CSV_Import!B152))*((Auswertung!$C$7/2)*100-Auswertung!$C$8),3)</f>
        <v>0</v>
      </c>
      <c r="G154">
        <f>ROUND(TAN(RADIANS(CSV_Import!S152))*((Auswertung!$C$7/2)*100-Auswertung!$C$8),3)</f>
        <v>0</v>
      </c>
      <c r="H154">
        <f>ROUND(TAN(RADIANS(CSV_Import!E152))*((Auswertung!$C$7/2)*100-Auswertung!$C$8),3)</f>
        <v>0</v>
      </c>
      <c r="I154">
        <f>ROUND(TAN(RADIANS(CSV_Import!V152))*((Auswertung!$C$7/2)*100-Auswertung!$C$8),3)</f>
        <v>0</v>
      </c>
      <c r="K154">
        <f>(CSV_Import!$N$2-CSV_Import!N152)</f>
        <v>0</v>
      </c>
      <c r="L154">
        <f>(CSV_Import!$AE$2-CSV_Import!AE152)</f>
        <v>0</v>
      </c>
    </row>
    <row r="155" spans="2:12" x14ac:dyDescent="0.3">
      <c r="B155">
        <f>(CSV_Import!G153-CSV_Import!$G$2)/1000</f>
        <v>0</v>
      </c>
      <c r="D155">
        <f>ROUND(TAN(RADIANS(CSV_Import!D153))*((Auswertung!$C$7*100)/2-Auswertung!$C$8),3)</f>
        <v>0</v>
      </c>
      <c r="E155">
        <f>ROUND(TAN(RADIANS(CSV_Import!U153))*((Auswertung!$C$7/2)*100-Auswertung!$C$8),3)</f>
        <v>0</v>
      </c>
      <c r="F155">
        <f>ROUND(TAN(RADIANS(CSV_Import!B153))*((Auswertung!$C$7/2)*100-Auswertung!$C$8),3)</f>
        <v>0</v>
      </c>
      <c r="G155">
        <f>ROUND(TAN(RADIANS(CSV_Import!S153))*((Auswertung!$C$7/2)*100-Auswertung!$C$8),3)</f>
        <v>0</v>
      </c>
      <c r="H155">
        <f>ROUND(TAN(RADIANS(CSV_Import!E153))*((Auswertung!$C$7/2)*100-Auswertung!$C$8),3)</f>
        <v>0</v>
      </c>
      <c r="I155">
        <f>ROUND(TAN(RADIANS(CSV_Import!V153))*((Auswertung!$C$7/2)*100-Auswertung!$C$8),3)</f>
        <v>0</v>
      </c>
      <c r="K155">
        <f>(CSV_Import!$N$2-CSV_Import!N153)</f>
        <v>0</v>
      </c>
      <c r="L155">
        <f>(CSV_Import!$AE$2-CSV_Import!AE153)</f>
        <v>0</v>
      </c>
    </row>
    <row r="156" spans="2:12" x14ac:dyDescent="0.3">
      <c r="B156">
        <f>(CSV_Import!G154-CSV_Import!$G$2)/1000</f>
        <v>0</v>
      </c>
      <c r="D156">
        <f>ROUND(TAN(RADIANS(CSV_Import!D154))*((Auswertung!$C$7*100)/2-Auswertung!$C$8),3)</f>
        <v>0</v>
      </c>
      <c r="E156">
        <f>ROUND(TAN(RADIANS(CSV_Import!U154))*((Auswertung!$C$7/2)*100-Auswertung!$C$8),3)</f>
        <v>0</v>
      </c>
      <c r="F156">
        <f>ROUND(TAN(RADIANS(CSV_Import!B154))*((Auswertung!$C$7/2)*100-Auswertung!$C$8),3)</f>
        <v>0</v>
      </c>
      <c r="G156">
        <f>ROUND(TAN(RADIANS(CSV_Import!S154))*((Auswertung!$C$7/2)*100-Auswertung!$C$8),3)</f>
        <v>0</v>
      </c>
      <c r="H156">
        <f>ROUND(TAN(RADIANS(CSV_Import!E154))*((Auswertung!$C$7/2)*100-Auswertung!$C$8),3)</f>
        <v>0</v>
      </c>
      <c r="I156">
        <f>ROUND(TAN(RADIANS(CSV_Import!V154))*((Auswertung!$C$7/2)*100-Auswertung!$C$8),3)</f>
        <v>0</v>
      </c>
      <c r="K156">
        <f>(CSV_Import!$N$2-CSV_Import!N154)</f>
        <v>0</v>
      </c>
      <c r="L156">
        <f>(CSV_Import!$AE$2-CSV_Import!AE154)</f>
        <v>0</v>
      </c>
    </row>
    <row r="157" spans="2:12" x14ac:dyDescent="0.3">
      <c r="B157">
        <f>(CSV_Import!G155-CSV_Import!$G$2)/1000</f>
        <v>0</v>
      </c>
      <c r="D157">
        <f>ROUND(TAN(RADIANS(CSV_Import!D155))*((Auswertung!$C$7*100)/2-Auswertung!$C$8),3)</f>
        <v>0</v>
      </c>
      <c r="E157">
        <f>ROUND(TAN(RADIANS(CSV_Import!U155))*((Auswertung!$C$7/2)*100-Auswertung!$C$8),3)</f>
        <v>0</v>
      </c>
      <c r="F157">
        <f>ROUND(TAN(RADIANS(CSV_Import!B155))*((Auswertung!$C$7/2)*100-Auswertung!$C$8),3)</f>
        <v>0</v>
      </c>
      <c r="G157">
        <f>ROUND(TAN(RADIANS(CSV_Import!S155))*((Auswertung!$C$7/2)*100-Auswertung!$C$8),3)</f>
        <v>0</v>
      </c>
      <c r="H157">
        <f>ROUND(TAN(RADIANS(CSV_Import!E155))*((Auswertung!$C$7/2)*100-Auswertung!$C$8),3)</f>
        <v>0</v>
      </c>
      <c r="I157">
        <f>ROUND(TAN(RADIANS(CSV_Import!V155))*((Auswertung!$C$7/2)*100-Auswertung!$C$8),3)</f>
        <v>0</v>
      </c>
      <c r="K157">
        <f>(CSV_Import!$N$2-CSV_Import!N155)</f>
        <v>0</v>
      </c>
      <c r="L157">
        <f>(CSV_Import!$AE$2-CSV_Import!AE155)</f>
        <v>0</v>
      </c>
    </row>
    <row r="158" spans="2:12" x14ac:dyDescent="0.3">
      <c r="B158">
        <f>(CSV_Import!G156-CSV_Import!$G$2)/1000</f>
        <v>0</v>
      </c>
      <c r="D158">
        <f>ROUND(TAN(RADIANS(CSV_Import!D156))*((Auswertung!$C$7*100)/2-Auswertung!$C$8),3)</f>
        <v>0</v>
      </c>
      <c r="E158">
        <f>ROUND(TAN(RADIANS(CSV_Import!U156))*((Auswertung!$C$7/2)*100-Auswertung!$C$8),3)</f>
        <v>0</v>
      </c>
      <c r="F158">
        <f>ROUND(TAN(RADIANS(CSV_Import!B156))*((Auswertung!$C$7/2)*100-Auswertung!$C$8),3)</f>
        <v>0</v>
      </c>
      <c r="G158">
        <f>ROUND(TAN(RADIANS(CSV_Import!S156))*((Auswertung!$C$7/2)*100-Auswertung!$C$8),3)</f>
        <v>0</v>
      </c>
      <c r="H158">
        <f>ROUND(TAN(RADIANS(CSV_Import!E156))*((Auswertung!$C$7/2)*100-Auswertung!$C$8),3)</f>
        <v>0</v>
      </c>
      <c r="I158">
        <f>ROUND(TAN(RADIANS(CSV_Import!V156))*((Auswertung!$C$7/2)*100-Auswertung!$C$8),3)</f>
        <v>0</v>
      </c>
      <c r="K158">
        <f>(CSV_Import!$N$2-CSV_Import!N156)</f>
        <v>0</v>
      </c>
      <c r="L158">
        <f>(CSV_Import!$AE$2-CSV_Import!AE156)</f>
        <v>0</v>
      </c>
    </row>
    <row r="159" spans="2:12" x14ac:dyDescent="0.3">
      <c r="B159">
        <f>(CSV_Import!G157-CSV_Import!$G$2)/1000</f>
        <v>0</v>
      </c>
      <c r="D159">
        <f>ROUND(TAN(RADIANS(CSV_Import!D157))*((Auswertung!$C$7*100)/2-Auswertung!$C$8),3)</f>
        <v>0</v>
      </c>
      <c r="E159">
        <f>ROUND(TAN(RADIANS(CSV_Import!U157))*((Auswertung!$C$7/2)*100-Auswertung!$C$8),3)</f>
        <v>0</v>
      </c>
      <c r="F159">
        <f>ROUND(TAN(RADIANS(CSV_Import!B157))*((Auswertung!$C$7/2)*100-Auswertung!$C$8),3)</f>
        <v>0</v>
      </c>
      <c r="G159">
        <f>ROUND(TAN(RADIANS(CSV_Import!S157))*((Auswertung!$C$7/2)*100-Auswertung!$C$8),3)</f>
        <v>0</v>
      </c>
      <c r="H159">
        <f>ROUND(TAN(RADIANS(CSV_Import!E157))*((Auswertung!$C$7/2)*100-Auswertung!$C$8),3)</f>
        <v>0</v>
      </c>
      <c r="I159">
        <f>ROUND(TAN(RADIANS(CSV_Import!V157))*((Auswertung!$C$7/2)*100-Auswertung!$C$8),3)</f>
        <v>0</v>
      </c>
      <c r="K159">
        <f>(CSV_Import!$N$2-CSV_Import!N157)</f>
        <v>0</v>
      </c>
      <c r="L159">
        <f>(CSV_Import!$AE$2-CSV_Import!AE157)</f>
        <v>0</v>
      </c>
    </row>
    <row r="160" spans="2:12" x14ac:dyDescent="0.3">
      <c r="B160">
        <f>(CSV_Import!G158-CSV_Import!$G$2)/1000</f>
        <v>0</v>
      </c>
      <c r="D160">
        <f>ROUND(TAN(RADIANS(CSV_Import!D158))*((Auswertung!$C$7*100)/2-Auswertung!$C$8),3)</f>
        <v>0</v>
      </c>
      <c r="E160">
        <f>ROUND(TAN(RADIANS(CSV_Import!U158))*((Auswertung!$C$7/2)*100-Auswertung!$C$8),3)</f>
        <v>0</v>
      </c>
      <c r="F160">
        <f>ROUND(TAN(RADIANS(CSV_Import!B158))*((Auswertung!$C$7/2)*100-Auswertung!$C$8),3)</f>
        <v>0</v>
      </c>
      <c r="G160">
        <f>ROUND(TAN(RADIANS(CSV_Import!S158))*((Auswertung!$C$7/2)*100-Auswertung!$C$8),3)</f>
        <v>0</v>
      </c>
      <c r="H160">
        <f>ROUND(TAN(RADIANS(CSV_Import!E158))*((Auswertung!$C$7/2)*100-Auswertung!$C$8),3)</f>
        <v>0</v>
      </c>
      <c r="I160">
        <f>ROUND(TAN(RADIANS(CSV_Import!V158))*((Auswertung!$C$7/2)*100-Auswertung!$C$8),3)</f>
        <v>0</v>
      </c>
      <c r="K160">
        <f>(CSV_Import!$N$2-CSV_Import!N158)</f>
        <v>0</v>
      </c>
      <c r="L160">
        <f>(CSV_Import!$AE$2-CSV_Import!AE158)</f>
        <v>0</v>
      </c>
    </row>
    <row r="161" spans="2:12" x14ac:dyDescent="0.3">
      <c r="B161">
        <f>(CSV_Import!G159-CSV_Import!$G$2)/1000</f>
        <v>0</v>
      </c>
      <c r="D161">
        <f>ROUND(TAN(RADIANS(CSV_Import!D159))*((Auswertung!$C$7*100)/2-Auswertung!$C$8),3)</f>
        <v>0</v>
      </c>
      <c r="E161">
        <f>ROUND(TAN(RADIANS(CSV_Import!U159))*((Auswertung!$C$7/2)*100-Auswertung!$C$8),3)</f>
        <v>0</v>
      </c>
      <c r="F161">
        <f>ROUND(TAN(RADIANS(CSV_Import!B159))*((Auswertung!$C$7/2)*100-Auswertung!$C$8),3)</f>
        <v>0</v>
      </c>
      <c r="G161">
        <f>ROUND(TAN(RADIANS(CSV_Import!S159))*((Auswertung!$C$7/2)*100-Auswertung!$C$8),3)</f>
        <v>0</v>
      </c>
      <c r="H161">
        <f>ROUND(TAN(RADIANS(CSV_Import!E159))*((Auswertung!$C$7/2)*100-Auswertung!$C$8),3)</f>
        <v>0</v>
      </c>
      <c r="I161">
        <f>ROUND(TAN(RADIANS(CSV_Import!V159))*((Auswertung!$C$7/2)*100-Auswertung!$C$8),3)</f>
        <v>0</v>
      </c>
      <c r="K161">
        <f>(CSV_Import!$N$2-CSV_Import!N159)</f>
        <v>0</v>
      </c>
      <c r="L161">
        <f>(CSV_Import!$AE$2-CSV_Import!AE159)</f>
        <v>0</v>
      </c>
    </row>
    <row r="162" spans="2:12" x14ac:dyDescent="0.3">
      <c r="B162">
        <f>(CSV_Import!G160-CSV_Import!$G$2)/1000</f>
        <v>0</v>
      </c>
      <c r="D162">
        <f>ROUND(TAN(RADIANS(CSV_Import!D160))*((Auswertung!$C$7*100)/2-Auswertung!$C$8),3)</f>
        <v>0</v>
      </c>
      <c r="E162">
        <f>ROUND(TAN(RADIANS(CSV_Import!U160))*((Auswertung!$C$7/2)*100-Auswertung!$C$8),3)</f>
        <v>0</v>
      </c>
      <c r="F162">
        <f>ROUND(TAN(RADIANS(CSV_Import!B160))*((Auswertung!$C$7/2)*100-Auswertung!$C$8),3)</f>
        <v>0</v>
      </c>
      <c r="G162">
        <f>ROUND(TAN(RADIANS(CSV_Import!S160))*((Auswertung!$C$7/2)*100-Auswertung!$C$8),3)</f>
        <v>0</v>
      </c>
      <c r="H162">
        <f>ROUND(TAN(RADIANS(CSV_Import!E160))*((Auswertung!$C$7/2)*100-Auswertung!$C$8),3)</f>
        <v>0</v>
      </c>
      <c r="I162">
        <f>ROUND(TAN(RADIANS(CSV_Import!V160))*((Auswertung!$C$7/2)*100-Auswertung!$C$8),3)</f>
        <v>0</v>
      </c>
      <c r="K162">
        <f>(CSV_Import!$N$2-CSV_Import!N160)</f>
        <v>0</v>
      </c>
      <c r="L162">
        <f>(CSV_Import!$AE$2-CSV_Import!AE160)</f>
        <v>0</v>
      </c>
    </row>
    <row r="163" spans="2:12" x14ac:dyDescent="0.3">
      <c r="B163">
        <f>(CSV_Import!G161-CSV_Import!$G$2)/1000</f>
        <v>0</v>
      </c>
      <c r="D163">
        <f>ROUND(TAN(RADIANS(CSV_Import!D161))*((Auswertung!$C$7*100)/2-Auswertung!$C$8),3)</f>
        <v>0</v>
      </c>
      <c r="E163">
        <f>ROUND(TAN(RADIANS(CSV_Import!U161))*((Auswertung!$C$7/2)*100-Auswertung!$C$8),3)</f>
        <v>0</v>
      </c>
      <c r="F163">
        <f>ROUND(TAN(RADIANS(CSV_Import!B161))*((Auswertung!$C$7/2)*100-Auswertung!$C$8),3)</f>
        <v>0</v>
      </c>
      <c r="G163">
        <f>ROUND(TAN(RADIANS(CSV_Import!S161))*((Auswertung!$C$7/2)*100-Auswertung!$C$8),3)</f>
        <v>0</v>
      </c>
      <c r="H163">
        <f>ROUND(TAN(RADIANS(CSV_Import!E161))*((Auswertung!$C$7/2)*100-Auswertung!$C$8),3)</f>
        <v>0</v>
      </c>
      <c r="I163">
        <f>ROUND(TAN(RADIANS(CSV_Import!V161))*((Auswertung!$C$7/2)*100-Auswertung!$C$8),3)</f>
        <v>0</v>
      </c>
      <c r="K163">
        <f>(CSV_Import!$N$2-CSV_Import!N161)</f>
        <v>0</v>
      </c>
      <c r="L163">
        <f>(CSV_Import!$AE$2-CSV_Import!AE161)</f>
        <v>0</v>
      </c>
    </row>
    <row r="164" spans="2:12" x14ac:dyDescent="0.3">
      <c r="B164">
        <f>(CSV_Import!G162-CSV_Import!$G$2)/1000</f>
        <v>0</v>
      </c>
      <c r="D164">
        <f>ROUND(TAN(RADIANS(CSV_Import!D162))*((Auswertung!$C$7*100)/2-Auswertung!$C$8),3)</f>
        <v>0</v>
      </c>
      <c r="E164">
        <f>ROUND(TAN(RADIANS(CSV_Import!U162))*((Auswertung!$C$7/2)*100-Auswertung!$C$8),3)</f>
        <v>0</v>
      </c>
      <c r="F164">
        <f>ROUND(TAN(RADIANS(CSV_Import!B162))*((Auswertung!$C$7/2)*100-Auswertung!$C$8),3)</f>
        <v>0</v>
      </c>
      <c r="G164">
        <f>ROUND(TAN(RADIANS(CSV_Import!S162))*((Auswertung!$C$7/2)*100-Auswertung!$C$8),3)</f>
        <v>0</v>
      </c>
      <c r="H164">
        <f>ROUND(TAN(RADIANS(CSV_Import!E162))*((Auswertung!$C$7/2)*100-Auswertung!$C$8),3)</f>
        <v>0</v>
      </c>
      <c r="I164">
        <f>ROUND(TAN(RADIANS(CSV_Import!V162))*((Auswertung!$C$7/2)*100-Auswertung!$C$8),3)</f>
        <v>0</v>
      </c>
      <c r="K164">
        <f>(CSV_Import!$N$2-CSV_Import!N162)</f>
        <v>0</v>
      </c>
      <c r="L164">
        <f>(CSV_Import!$AE$2-CSV_Import!AE162)</f>
        <v>0</v>
      </c>
    </row>
    <row r="165" spans="2:12" x14ac:dyDescent="0.3">
      <c r="B165">
        <f>(CSV_Import!G163-CSV_Import!$G$2)/1000</f>
        <v>0</v>
      </c>
      <c r="D165">
        <f>ROUND(TAN(RADIANS(CSV_Import!D163))*((Auswertung!$C$7*100)/2-Auswertung!$C$8),3)</f>
        <v>0</v>
      </c>
      <c r="E165">
        <f>ROUND(TAN(RADIANS(CSV_Import!U163))*((Auswertung!$C$7/2)*100-Auswertung!$C$8),3)</f>
        <v>0</v>
      </c>
      <c r="F165">
        <f>ROUND(TAN(RADIANS(CSV_Import!B163))*((Auswertung!$C$7/2)*100-Auswertung!$C$8),3)</f>
        <v>0</v>
      </c>
      <c r="G165">
        <f>ROUND(TAN(RADIANS(CSV_Import!S163))*((Auswertung!$C$7/2)*100-Auswertung!$C$8),3)</f>
        <v>0</v>
      </c>
      <c r="H165">
        <f>ROUND(TAN(RADIANS(CSV_Import!E163))*((Auswertung!$C$7/2)*100-Auswertung!$C$8),3)</f>
        <v>0</v>
      </c>
      <c r="I165">
        <f>ROUND(TAN(RADIANS(CSV_Import!V163))*((Auswertung!$C$7/2)*100-Auswertung!$C$8),3)</f>
        <v>0</v>
      </c>
      <c r="K165">
        <f>(CSV_Import!$N$2-CSV_Import!N163)</f>
        <v>0</v>
      </c>
      <c r="L165">
        <f>(CSV_Import!$AE$2-CSV_Import!AE163)</f>
        <v>0</v>
      </c>
    </row>
    <row r="166" spans="2:12" x14ac:dyDescent="0.3">
      <c r="B166">
        <f>(CSV_Import!G164-CSV_Import!$G$2)/1000</f>
        <v>0</v>
      </c>
      <c r="D166">
        <f>ROUND(TAN(RADIANS(CSV_Import!D164))*((Auswertung!$C$7*100)/2-Auswertung!$C$8),3)</f>
        <v>0</v>
      </c>
      <c r="E166">
        <f>ROUND(TAN(RADIANS(CSV_Import!U164))*((Auswertung!$C$7/2)*100-Auswertung!$C$8),3)</f>
        <v>0</v>
      </c>
      <c r="F166">
        <f>ROUND(TAN(RADIANS(CSV_Import!B164))*((Auswertung!$C$7/2)*100-Auswertung!$C$8),3)</f>
        <v>0</v>
      </c>
      <c r="G166">
        <f>ROUND(TAN(RADIANS(CSV_Import!S164))*((Auswertung!$C$7/2)*100-Auswertung!$C$8),3)</f>
        <v>0</v>
      </c>
      <c r="H166">
        <f>ROUND(TAN(RADIANS(CSV_Import!E164))*((Auswertung!$C$7/2)*100-Auswertung!$C$8),3)</f>
        <v>0</v>
      </c>
      <c r="I166">
        <f>ROUND(TAN(RADIANS(CSV_Import!V164))*((Auswertung!$C$7/2)*100-Auswertung!$C$8),3)</f>
        <v>0</v>
      </c>
      <c r="K166">
        <f>(CSV_Import!$N$2-CSV_Import!N164)</f>
        <v>0</v>
      </c>
      <c r="L166">
        <f>(CSV_Import!$AE$2-CSV_Import!AE164)</f>
        <v>0</v>
      </c>
    </row>
    <row r="167" spans="2:12" x14ac:dyDescent="0.3">
      <c r="B167">
        <f>(CSV_Import!G165-CSV_Import!$G$2)/1000</f>
        <v>0</v>
      </c>
      <c r="D167">
        <f>ROUND(TAN(RADIANS(CSV_Import!D165))*((Auswertung!$C$7*100)/2-Auswertung!$C$8),3)</f>
        <v>0</v>
      </c>
      <c r="E167">
        <f>ROUND(TAN(RADIANS(CSV_Import!U165))*((Auswertung!$C$7/2)*100-Auswertung!$C$8),3)</f>
        <v>0</v>
      </c>
      <c r="F167">
        <f>ROUND(TAN(RADIANS(CSV_Import!B165))*((Auswertung!$C$7/2)*100-Auswertung!$C$8),3)</f>
        <v>0</v>
      </c>
      <c r="G167">
        <f>ROUND(TAN(RADIANS(CSV_Import!S165))*((Auswertung!$C$7/2)*100-Auswertung!$C$8),3)</f>
        <v>0</v>
      </c>
      <c r="H167">
        <f>ROUND(TAN(RADIANS(CSV_Import!E165))*((Auswertung!$C$7/2)*100-Auswertung!$C$8),3)</f>
        <v>0</v>
      </c>
      <c r="I167">
        <f>ROUND(TAN(RADIANS(CSV_Import!V165))*((Auswertung!$C$7/2)*100-Auswertung!$C$8),3)</f>
        <v>0</v>
      </c>
      <c r="K167">
        <f>(CSV_Import!$N$2-CSV_Import!N165)</f>
        <v>0</v>
      </c>
      <c r="L167">
        <f>(CSV_Import!$AE$2-CSV_Import!AE165)</f>
        <v>0</v>
      </c>
    </row>
    <row r="168" spans="2:12" x14ac:dyDescent="0.3">
      <c r="B168">
        <f>(CSV_Import!G166-CSV_Import!$G$2)/1000</f>
        <v>0</v>
      </c>
      <c r="D168">
        <f>ROUND(TAN(RADIANS(CSV_Import!D166))*((Auswertung!$C$7*100)/2-Auswertung!$C$8),3)</f>
        <v>0</v>
      </c>
      <c r="E168">
        <f>ROUND(TAN(RADIANS(CSV_Import!U166))*((Auswertung!$C$7/2)*100-Auswertung!$C$8),3)</f>
        <v>0</v>
      </c>
      <c r="F168">
        <f>ROUND(TAN(RADIANS(CSV_Import!B166))*((Auswertung!$C$7/2)*100-Auswertung!$C$8),3)</f>
        <v>0</v>
      </c>
      <c r="G168">
        <f>ROUND(TAN(RADIANS(CSV_Import!S166))*((Auswertung!$C$7/2)*100-Auswertung!$C$8),3)</f>
        <v>0</v>
      </c>
      <c r="H168">
        <f>ROUND(TAN(RADIANS(CSV_Import!E166))*((Auswertung!$C$7/2)*100-Auswertung!$C$8),3)</f>
        <v>0</v>
      </c>
      <c r="I168">
        <f>ROUND(TAN(RADIANS(CSV_Import!V166))*((Auswertung!$C$7/2)*100-Auswertung!$C$8),3)</f>
        <v>0</v>
      </c>
      <c r="K168">
        <f>(CSV_Import!$N$2-CSV_Import!N166)</f>
        <v>0</v>
      </c>
      <c r="L168">
        <f>(CSV_Import!$AE$2-CSV_Import!AE166)</f>
        <v>0</v>
      </c>
    </row>
    <row r="169" spans="2:12" x14ac:dyDescent="0.3">
      <c r="B169">
        <f>(CSV_Import!G167-CSV_Import!$G$2)/1000</f>
        <v>0</v>
      </c>
      <c r="D169">
        <f>ROUND(TAN(RADIANS(CSV_Import!D167))*((Auswertung!$C$7*100)/2-Auswertung!$C$8),3)</f>
        <v>0</v>
      </c>
      <c r="E169">
        <f>ROUND(TAN(RADIANS(CSV_Import!U167))*((Auswertung!$C$7/2)*100-Auswertung!$C$8),3)</f>
        <v>0</v>
      </c>
      <c r="F169">
        <f>ROUND(TAN(RADIANS(CSV_Import!B167))*((Auswertung!$C$7/2)*100-Auswertung!$C$8),3)</f>
        <v>0</v>
      </c>
      <c r="G169">
        <f>ROUND(TAN(RADIANS(CSV_Import!S167))*((Auswertung!$C$7/2)*100-Auswertung!$C$8),3)</f>
        <v>0</v>
      </c>
      <c r="H169">
        <f>ROUND(TAN(RADIANS(CSV_Import!E167))*((Auswertung!$C$7/2)*100-Auswertung!$C$8),3)</f>
        <v>0</v>
      </c>
      <c r="I169">
        <f>ROUND(TAN(RADIANS(CSV_Import!V167))*((Auswertung!$C$7/2)*100-Auswertung!$C$8),3)</f>
        <v>0</v>
      </c>
      <c r="K169">
        <f>(CSV_Import!$N$2-CSV_Import!N167)</f>
        <v>0</v>
      </c>
      <c r="L169">
        <f>(CSV_Import!$AE$2-CSV_Import!AE167)</f>
        <v>0</v>
      </c>
    </row>
    <row r="170" spans="2:12" x14ac:dyDescent="0.3">
      <c r="B170">
        <f>(CSV_Import!G168-CSV_Import!$G$2)/1000</f>
        <v>0</v>
      </c>
      <c r="D170">
        <f>ROUND(TAN(RADIANS(CSV_Import!D168))*((Auswertung!$C$7*100)/2-Auswertung!$C$8),3)</f>
        <v>0</v>
      </c>
      <c r="E170">
        <f>ROUND(TAN(RADIANS(CSV_Import!U168))*((Auswertung!$C$7/2)*100-Auswertung!$C$8),3)</f>
        <v>0</v>
      </c>
      <c r="F170">
        <f>ROUND(TAN(RADIANS(CSV_Import!B168))*((Auswertung!$C$7/2)*100-Auswertung!$C$8),3)</f>
        <v>0</v>
      </c>
      <c r="G170">
        <f>ROUND(TAN(RADIANS(CSV_Import!S168))*((Auswertung!$C$7/2)*100-Auswertung!$C$8),3)</f>
        <v>0</v>
      </c>
      <c r="H170">
        <f>ROUND(TAN(RADIANS(CSV_Import!E168))*((Auswertung!$C$7/2)*100-Auswertung!$C$8),3)</f>
        <v>0</v>
      </c>
      <c r="I170">
        <f>ROUND(TAN(RADIANS(CSV_Import!V168))*((Auswertung!$C$7/2)*100-Auswertung!$C$8),3)</f>
        <v>0</v>
      </c>
      <c r="K170">
        <f>(CSV_Import!$N$2-CSV_Import!N168)</f>
        <v>0</v>
      </c>
      <c r="L170">
        <f>(CSV_Import!$AE$2-CSV_Import!AE168)</f>
        <v>0</v>
      </c>
    </row>
    <row r="171" spans="2:12" x14ac:dyDescent="0.3">
      <c r="B171">
        <f>(CSV_Import!G169-CSV_Import!$G$2)/1000</f>
        <v>0</v>
      </c>
      <c r="D171">
        <f>ROUND(TAN(RADIANS(CSV_Import!D169))*((Auswertung!$C$7*100)/2-Auswertung!$C$8),3)</f>
        <v>0</v>
      </c>
      <c r="E171">
        <f>ROUND(TAN(RADIANS(CSV_Import!U169))*((Auswertung!$C$7/2)*100-Auswertung!$C$8),3)</f>
        <v>0</v>
      </c>
      <c r="F171">
        <f>ROUND(TAN(RADIANS(CSV_Import!B169))*((Auswertung!$C$7/2)*100-Auswertung!$C$8),3)</f>
        <v>0</v>
      </c>
      <c r="G171">
        <f>ROUND(TAN(RADIANS(CSV_Import!S169))*((Auswertung!$C$7/2)*100-Auswertung!$C$8),3)</f>
        <v>0</v>
      </c>
      <c r="H171">
        <f>ROUND(TAN(RADIANS(CSV_Import!E169))*((Auswertung!$C$7/2)*100-Auswertung!$C$8),3)</f>
        <v>0</v>
      </c>
      <c r="I171">
        <f>ROUND(TAN(RADIANS(CSV_Import!V169))*((Auswertung!$C$7/2)*100-Auswertung!$C$8),3)</f>
        <v>0</v>
      </c>
      <c r="K171">
        <f>(CSV_Import!$N$2-CSV_Import!N169)</f>
        <v>0</v>
      </c>
      <c r="L171">
        <f>(CSV_Import!$AE$2-CSV_Import!AE169)</f>
        <v>0</v>
      </c>
    </row>
    <row r="172" spans="2:12" x14ac:dyDescent="0.3">
      <c r="B172">
        <f>(CSV_Import!G170-CSV_Import!$G$2)/1000</f>
        <v>0</v>
      </c>
      <c r="D172">
        <f>ROUND(TAN(RADIANS(CSV_Import!D170))*((Auswertung!$C$7*100)/2-Auswertung!$C$8),3)</f>
        <v>0</v>
      </c>
      <c r="E172">
        <f>ROUND(TAN(RADIANS(CSV_Import!U170))*((Auswertung!$C$7/2)*100-Auswertung!$C$8),3)</f>
        <v>0</v>
      </c>
      <c r="F172">
        <f>ROUND(TAN(RADIANS(CSV_Import!B170))*((Auswertung!$C$7/2)*100-Auswertung!$C$8),3)</f>
        <v>0</v>
      </c>
      <c r="G172">
        <f>ROUND(TAN(RADIANS(CSV_Import!S170))*((Auswertung!$C$7/2)*100-Auswertung!$C$8),3)</f>
        <v>0</v>
      </c>
      <c r="H172">
        <f>ROUND(TAN(RADIANS(CSV_Import!E170))*((Auswertung!$C$7/2)*100-Auswertung!$C$8),3)</f>
        <v>0</v>
      </c>
      <c r="I172">
        <f>ROUND(TAN(RADIANS(CSV_Import!V170))*((Auswertung!$C$7/2)*100-Auswertung!$C$8),3)</f>
        <v>0</v>
      </c>
      <c r="K172">
        <f>(CSV_Import!$N$2-CSV_Import!N170)</f>
        <v>0</v>
      </c>
      <c r="L172">
        <f>(CSV_Import!$AE$2-CSV_Import!AE170)</f>
        <v>0</v>
      </c>
    </row>
    <row r="173" spans="2:12" x14ac:dyDescent="0.3">
      <c r="B173">
        <f>(CSV_Import!G171-CSV_Import!$G$2)/1000</f>
        <v>0</v>
      </c>
      <c r="D173">
        <f>ROUND(TAN(RADIANS(CSV_Import!D171))*((Auswertung!$C$7*100)/2-Auswertung!$C$8),3)</f>
        <v>0</v>
      </c>
      <c r="E173">
        <f>ROUND(TAN(RADIANS(CSV_Import!U171))*((Auswertung!$C$7/2)*100-Auswertung!$C$8),3)</f>
        <v>0</v>
      </c>
      <c r="F173">
        <f>ROUND(TAN(RADIANS(CSV_Import!B171))*((Auswertung!$C$7/2)*100-Auswertung!$C$8),3)</f>
        <v>0</v>
      </c>
      <c r="G173">
        <f>ROUND(TAN(RADIANS(CSV_Import!S171))*((Auswertung!$C$7/2)*100-Auswertung!$C$8),3)</f>
        <v>0</v>
      </c>
      <c r="H173">
        <f>ROUND(TAN(RADIANS(CSV_Import!E171))*((Auswertung!$C$7/2)*100-Auswertung!$C$8),3)</f>
        <v>0</v>
      </c>
      <c r="I173">
        <f>ROUND(TAN(RADIANS(CSV_Import!V171))*((Auswertung!$C$7/2)*100-Auswertung!$C$8),3)</f>
        <v>0</v>
      </c>
      <c r="K173">
        <f>(CSV_Import!$N$2-CSV_Import!N171)</f>
        <v>0</v>
      </c>
      <c r="L173">
        <f>(CSV_Import!$AE$2-CSV_Import!AE171)</f>
        <v>0</v>
      </c>
    </row>
    <row r="174" spans="2:12" x14ac:dyDescent="0.3">
      <c r="B174">
        <f>(CSV_Import!G172-CSV_Import!$G$2)/1000</f>
        <v>0</v>
      </c>
      <c r="D174">
        <f>ROUND(TAN(RADIANS(CSV_Import!D172))*((Auswertung!$C$7*100)/2-Auswertung!$C$8),3)</f>
        <v>0</v>
      </c>
      <c r="E174">
        <f>ROUND(TAN(RADIANS(CSV_Import!U172))*((Auswertung!$C$7/2)*100-Auswertung!$C$8),3)</f>
        <v>0</v>
      </c>
      <c r="F174">
        <f>ROUND(TAN(RADIANS(CSV_Import!B172))*((Auswertung!$C$7/2)*100-Auswertung!$C$8),3)</f>
        <v>0</v>
      </c>
      <c r="G174">
        <f>ROUND(TAN(RADIANS(CSV_Import!S172))*((Auswertung!$C$7/2)*100-Auswertung!$C$8),3)</f>
        <v>0</v>
      </c>
      <c r="H174">
        <f>ROUND(TAN(RADIANS(CSV_Import!E172))*((Auswertung!$C$7/2)*100-Auswertung!$C$8),3)</f>
        <v>0</v>
      </c>
      <c r="I174">
        <f>ROUND(TAN(RADIANS(CSV_Import!V172))*((Auswertung!$C$7/2)*100-Auswertung!$C$8),3)</f>
        <v>0</v>
      </c>
      <c r="K174">
        <f>(CSV_Import!$N$2-CSV_Import!N172)</f>
        <v>0</v>
      </c>
      <c r="L174">
        <f>(CSV_Import!$AE$2-CSV_Import!AE172)</f>
        <v>0</v>
      </c>
    </row>
    <row r="175" spans="2:12" x14ac:dyDescent="0.3">
      <c r="B175">
        <f>(CSV_Import!G173-CSV_Import!$G$2)/1000</f>
        <v>0</v>
      </c>
      <c r="D175">
        <f>ROUND(TAN(RADIANS(CSV_Import!D173))*((Auswertung!$C$7*100)/2-Auswertung!$C$8),3)</f>
        <v>0</v>
      </c>
      <c r="E175">
        <f>ROUND(TAN(RADIANS(CSV_Import!U173))*((Auswertung!$C$7/2)*100-Auswertung!$C$8),3)</f>
        <v>0</v>
      </c>
      <c r="F175">
        <f>ROUND(TAN(RADIANS(CSV_Import!B173))*((Auswertung!$C$7/2)*100-Auswertung!$C$8),3)</f>
        <v>0</v>
      </c>
      <c r="G175">
        <f>ROUND(TAN(RADIANS(CSV_Import!S173))*((Auswertung!$C$7/2)*100-Auswertung!$C$8),3)</f>
        <v>0</v>
      </c>
      <c r="H175">
        <f>ROUND(TAN(RADIANS(CSV_Import!E173))*((Auswertung!$C$7/2)*100-Auswertung!$C$8),3)</f>
        <v>0</v>
      </c>
      <c r="I175">
        <f>ROUND(TAN(RADIANS(CSV_Import!V173))*((Auswertung!$C$7/2)*100-Auswertung!$C$8),3)</f>
        <v>0</v>
      </c>
      <c r="K175">
        <f>(CSV_Import!$N$2-CSV_Import!N173)</f>
        <v>0</v>
      </c>
      <c r="L175">
        <f>(CSV_Import!$AE$2-CSV_Import!AE173)</f>
        <v>0</v>
      </c>
    </row>
    <row r="176" spans="2:12" x14ac:dyDescent="0.3">
      <c r="B176">
        <f>(CSV_Import!G174-CSV_Import!$G$2)/1000</f>
        <v>0</v>
      </c>
      <c r="D176">
        <f>ROUND(TAN(RADIANS(CSV_Import!D174))*((Auswertung!$C$7*100)/2-Auswertung!$C$8),3)</f>
        <v>0</v>
      </c>
      <c r="E176">
        <f>ROUND(TAN(RADIANS(CSV_Import!U174))*((Auswertung!$C$7/2)*100-Auswertung!$C$8),3)</f>
        <v>0</v>
      </c>
      <c r="F176">
        <f>ROUND(TAN(RADIANS(CSV_Import!B174))*((Auswertung!$C$7/2)*100-Auswertung!$C$8),3)</f>
        <v>0</v>
      </c>
      <c r="G176">
        <f>ROUND(TAN(RADIANS(CSV_Import!S174))*((Auswertung!$C$7/2)*100-Auswertung!$C$8),3)</f>
        <v>0</v>
      </c>
      <c r="H176">
        <f>ROUND(TAN(RADIANS(CSV_Import!E174))*((Auswertung!$C$7/2)*100-Auswertung!$C$8),3)</f>
        <v>0</v>
      </c>
      <c r="I176">
        <f>ROUND(TAN(RADIANS(CSV_Import!V174))*((Auswertung!$C$7/2)*100-Auswertung!$C$8),3)</f>
        <v>0</v>
      </c>
      <c r="K176">
        <f>(CSV_Import!$N$2-CSV_Import!N174)</f>
        <v>0</v>
      </c>
      <c r="L176">
        <f>(CSV_Import!$AE$2-CSV_Import!AE174)</f>
        <v>0</v>
      </c>
    </row>
    <row r="177" spans="2:12" x14ac:dyDescent="0.3">
      <c r="B177">
        <f>(CSV_Import!G175-CSV_Import!$G$2)/1000</f>
        <v>0</v>
      </c>
      <c r="D177">
        <f>ROUND(TAN(RADIANS(CSV_Import!D175))*((Auswertung!$C$7*100)/2-Auswertung!$C$8),3)</f>
        <v>0</v>
      </c>
      <c r="E177">
        <f>ROUND(TAN(RADIANS(CSV_Import!U175))*((Auswertung!$C$7/2)*100-Auswertung!$C$8),3)</f>
        <v>0</v>
      </c>
      <c r="F177">
        <f>ROUND(TAN(RADIANS(CSV_Import!B175))*((Auswertung!$C$7/2)*100-Auswertung!$C$8),3)</f>
        <v>0</v>
      </c>
      <c r="G177">
        <f>ROUND(TAN(RADIANS(CSV_Import!S175))*((Auswertung!$C$7/2)*100-Auswertung!$C$8),3)</f>
        <v>0</v>
      </c>
      <c r="H177">
        <f>ROUND(TAN(RADIANS(CSV_Import!E175))*((Auswertung!$C$7/2)*100-Auswertung!$C$8),3)</f>
        <v>0</v>
      </c>
      <c r="I177">
        <f>ROUND(TAN(RADIANS(CSV_Import!V175))*((Auswertung!$C$7/2)*100-Auswertung!$C$8),3)</f>
        <v>0</v>
      </c>
      <c r="K177">
        <f>(CSV_Import!$N$2-CSV_Import!N175)</f>
        <v>0</v>
      </c>
      <c r="L177">
        <f>(CSV_Import!$AE$2-CSV_Import!AE175)</f>
        <v>0</v>
      </c>
    </row>
    <row r="178" spans="2:12" x14ac:dyDescent="0.3">
      <c r="B178">
        <f>(CSV_Import!G176-CSV_Import!$G$2)/1000</f>
        <v>0</v>
      </c>
      <c r="D178">
        <f>ROUND(TAN(RADIANS(CSV_Import!D176))*((Auswertung!$C$7*100)/2-Auswertung!$C$8),3)</f>
        <v>0</v>
      </c>
      <c r="E178">
        <f>ROUND(TAN(RADIANS(CSV_Import!U176))*((Auswertung!$C$7/2)*100-Auswertung!$C$8),3)</f>
        <v>0</v>
      </c>
      <c r="F178">
        <f>ROUND(TAN(RADIANS(CSV_Import!B176))*((Auswertung!$C$7/2)*100-Auswertung!$C$8),3)</f>
        <v>0</v>
      </c>
      <c r="G178">
        <f>ROUND(TAN(RADIANS(CSV_Import!S176))*((Auswertung!$C$7/2)*100-Auswertung!$C$8),3)</f>
        <v>0</v>
      </c>
      <c r="H178">
        <f>ROUND(TAN(RADIANS(CSV_Import!E176))*((Auswertung!$C$7/2)*100-Auswertung!$C$8),3)</f>
        <v>0</v>
      </c>
      <c r="I178">
        <f>ROUND(TAN(RADIANS(CSV_Import!V176))*((Auswertung!$C$7/2)*100-Auswertung!$C$8),3)</f>
        <v>0</v>
      </c>
      <c r="K178">
        <f>(CSV_Import!$N$2-CSV_Import!N176)</f>
        <v>0</v>
      </c>
      <c r="L178">
        <f>(CSV_Import!$AE$2-CSV_Import!AE176)</f>
        <v>0</v>
      </c>
    </row>
    <row r="179" spans="2:12" x14ac:dyDescent="0.3">
      <c r="B179">
        <f>(CSV_Import!G177-CSV_Import!$G$2)/1000</f>
        <v>0</v>
      </c>
      <c r="D179">
        <f>ROUND(TAN(RADIANS(CSV_Import!D177))*((Auswertung!$C$7*100)/2-Auswertung!$C$8),3)</f>
        <v>0</v>
      </c>
      <c r="E179">
        <f>ROUND(TAN(RADIANS(CSV_Import!U177))*((Auswertung!$C$7/2)*100-Auswertung!$C$8),3)</f>
        <v>0</v>
      </c>
      <c r="F179">
        <f>ROUND(TAN(RADIANS(CSV_Import!B177))*((Auswertung!$C$7/2)*100-Auswertung!$C$8),3)</f>
        <v>0</v>
      </c>
      <c r="G179">
        <f>ROUND(TAN(RADIANS(CSV_Import!S177))*((Auswertung!$C$7/2)*100-Auswertung!$C$8),3)</f>
        <v>0</v>
      </c>
      <c r="H179">
        <f>ROUND(TAN(RADIANS(CSV_Import!E177))*((Auswertung!$C$7/2)*100-Auswertung!$C$8),3)</f>
        <v>0</v>
      </c>
      <c r="I179">
        <f>ROUND(TAN(RADIANS(CSV_Import!V177))*((Auswertung!$C$7/2)*100-Auswertung!$C$8),3)</f>
        <v>0</v>
      </c>
      <c r="K179">
        <f>(CSV_Import!$N$2-CSV_Import!N177)</f>
        <v>0</v>
      </c>
      <c r="L179">
        <f>(CSV_Import!$AE$2-CSV_Import!AE177)</f>
        <v>0</v>
      </c>
    </row>
    <row r="180" spans="2:12" x14ac:dyDescent="0.3">
      <c r="B180">
        <f>(CSV_Import!G178-CSV_Import!$G$2)/1000</f>
        <v>0</v>
      </c>
      <c r="D180">
        <f>ROUND(TAN(RADIANS(CSV_Import!D178))*((Auswertung!$C$7*100)/2-Auswertung!$C$8),3)</f>
        <v>0</v>
      </c>
      <c r="E180">
        <f>ROUND(TAN(RADIANS(CSV_Import!U178))*((Auswertung!$C$7/2)*100-Auswertung!$C$8),3)</f>
        <v>0</v>
      </c>
      <c r="F180">
        <f>ROUND(TAN(RADIANS(CSV_Import!B178))*((Auswertung!$C$7/2)*100-Auswertung!$C$8),3)</f>
        <v>0</v>
      </c>
      <c r="G180">
        <f>ROUND(TAN(RADIANS(CSV_Import!S178))*((Auswertung!$C$7/2)*100-Auswertung!$C$8),3)</f>
        <v>0</v>
      </c>
      <c r="H180">
        <f>ROUND(TAN(RADIANS(CSV_Import!E178))*((Auswertung!$C$7/2)*100-Auswertung!$C$8),3)</f>
        <v>0</v>
      </c>
      <c r="I180">
        <f>ROUND(TAN(RADIANS(CSV_Import!V178))*((Auswertung!$C$7/2)*100-Auswertung!$C$8),3)</f>
        <v>0</v>
      </c>
      <c r="K180">
        <f>(CSV_Import!$N$2-CSV_Import!N178)</f>
        <v>0</v>
      </c>
      <c r="L180">
        <f>(CSV_Import!$AE$2-CSV_Import!AE178)</f>
        <v>0</v>
      </c>
    </row>
    <row r="181" spans="2:12" x14ac:dyDescent="0.3">
      <c r="B181">
        <f>(CSV_Import!G179-CSV_Import!$G$2)/1000</f>
        <v>0</v>
      </c>
      <c r="D181">
        <f>ROUND(TAN(RADIANS(CSV_Import!D179))*((Auswertung!$C$7*100)/2-Auswertung!$C$8),3)</f>
        <v>0</v>
      </c>
      <c r="E181">
        <f>ROUND(TAN(RADIANS(CSV_Import!U179))*((Auswertung!$C$7/2)*100-Auswertung!$C$8),3)</f>
        <v>0</v>
      </c>
      <c r="F181">
        <f>ROUND(TAN(RADIANS(CSV_Import!B179))*((Auswertung!$C$7/2)*100-Auswertung!$C$8),3)</f>
        <v>0</v>
      </c>
      <c r="G181">
        <f>ROUND(TAN(RADIANS(CSV_Import!S179))*((Auswertung!$C$7/2)*100-Auswertung!$C$8),3)</f>
        <v>0</v>
      </c>
      <c r="H181">
        <f>ROUND(TAN(RADIANS(CSV_Import!E179))*((Auswertung!$C$7/2)*100-Auswertung!$C$8),3)</f>
        <v>0</v>
      </c>
      <c r="I181">
        <f>ROUND(TAN(RADIANS(CSV_Import!V179))*((Auswertung!$C$7/2)*100-Auswertung!$C$8),3)</f>
        <v>0</v>
      </c>
      <c r="K181">
        <f>(CSV_Import!$N$2-CSV_Import!N179)</f>
        <v>0</v>
      </c>
      <c r="L181">
        <f>(CSV_Import!$AE$2-CSV_Import!AE179)</f>
        <v>0</v>
      </c>
    </row>
    <row r="182" spans="2:12" x14ac:dyDescent="0.3">
      <c r="B182">
        <f>(CSV_Import!G180-CSV_Import!$G$2)/1000</f>
        <v>0</v>
      </c>
      <c r="D182">
        <f>ROUND(TAN(RADIANS(CSV_Import!D180))*((Auswertung!$C$7*100)/2-Auswertung!$C$8),3)</f>
        <v>0</v>
      </c>
      <c r="E182">
        <f>ROUND(TAN(RADIANS(CSV_Import!U180))*((Auswertung!$C$7/2)*100-Auswertung!$C$8),3)</f>
        <v>0</v>
      </c>
      <c r="F182">
        <f>ROUND(TAN(RADIANS(CSV_Import!B180))*((Auswertung!$C$7/2)*100-Auswertung!$C$8),3)</f>
        <v>0</v>
      </c>
      <c r="G182">
        <f>ROUND(TAN(RADIANS(CSV_Import!S180))*((Auswertung!$C$7/2)*100-Auswertung!$C$8),3)</f>
        <v>0</v>
      </c>
      <c r="H182">
        <f>ROUND(TAN(RADIANS(CSV_Import!E180))*((Auswertung!$C$7/2)*100-Auswertung!$C$8),3)</f>
        <v>0</v>
      </c>
      <c r="I182">
        <f>ROUND(TAN(RADIANS(CSV_Import!V180))*((Auswertung!$C$7/2)*100-Auswertung!$C$8),3)</f>
        <v>0</v>
      </c>
      <c r="K182">
        <f>(CSV_Import!$N$2-CSV_Import!N180)</f>
        <v>0</v>
      </c>
      <c r="L182">
        <f>(CSV_Import!$AE$2-CSV_Import!AE180)</f>
        <v>0</v>
      </c>
    </row>
    <row r="183" spans="2:12" x14ac:dyDescent="0.3">
      <c r="B183">
        <f>(CSV_Import!G181-CSV_Import!$G$2)/1000</f>
        <v>0</v>
      </c>
      <c r="D183">
        <f>ROUND(TAN(RADIANS(CSV_Import!D181))*((Auswertung!$C$7*100)/2-Auswertung!$C$8),3)</f>
        <v>0</v>
      </c>
      <c r="E183">
        <f>ROUND(TAN(RADIANS(CSV_Import!U181))*((Auswertung!$C$7/2)*100-Auswertung!$C$8),3)</f>
        <v>0</v>
      </c>
      <c r="F183">
        <f>ROUND(TAN(RADIANS(CSV_Import!B181))*((Auswertung!$C$7/2)*100-Auswertung!$C$8),3)</f>
        <v>0</v>
      </c>
      <c r="G183">
        <f>ROUND(TAN(RADIANS(CSV_Import!S181))*((Auswertung!$C$7/2)*100-Auswertung!$C$8),3)</f>
        <v>0</v>
      </c>
      <c r="H183">
        <f>ROUND(TAN(RADIANS(CSV_Import!E181))*((Auswertung!$C$7/2)*100-Auswertung!$C$8),3)</f>
        <v>0</v>
      </c>
      <c r="I183">
        <f>ROUND(TAN(RADIANS(CSV_Import!V181))*((Auswertung!$C$7/2)*100-Auswertung!$C$8),3)</f>
        <v>0</v>
      </c>
      <c r="K183">
        <f>(CSV_Import!$N$2-CSV_Import!N181)</f>
        <v>0</v>
      </c>
      <c r="L183">
        <f>(CSV_Import!$AE$2-CSV_Import!AE181)</f>
        <v>0</v>
      </c>
    </row>
    <row r="184" spans="2:12" x14ac:dyDescent="0.3">
      <c r="B184">
        <f>(CSV_Import!G182-CSV_Import!$G$2)/1000</f>
        <v>0</v>
      </c>
      <c r="D184">
        <f>ROUND(TAN(RADIANS(CSV_Import!D182))*((Auswertung!$C$7*100)/2-Auswertung!$C$8),3)</f>
        <v>0</v>
      </c>
      <c r="E184">
        <f>ROUND(TAN(RADIANS(CSV_Import!U182))*((Auswertung!$C$7/2)*100-Auswertung!$C$8),3)</f>
        <v>0</v>
      </c>
      <c r="F184">
        <f>ROUND(TAN(RADIANS(CSV_Import!B182))*((Auswertung!$C$7/2)*100-Auswertung!$C$8),3)</f>
        <v>0</v>
      </c>
      <c r="G184">
        <f>ROUND(TAN(RADIANS(CSV_Import!S182))*((Auswertung!$C$7/2)*100-Auswertung!$C$8),3)</f>
        <v>0</v>
      </c>
      <c r="H184">
        <f>ROUND(TAN(RADIANS(CSV_Import!E182))*((Auswertung!$C$7/2)*100-Auswertung!$C$8),3)</f>
        <v>0</v>
      </c>
      <c r="I184">
        <f>ROUND(TAN(RADIANS(CSV_Import!V182))*((Auswertung!$C$7/2)*100-Auswertung!$C$8),3)</f>
        <v>0</v>
      </c>
      <c r="K184">
        <f>(CSV_Import!$N$2-CSV_Import!N182)</f>
        <v>0</v>
      </c>
      <c r="L184">
        <f>(CSV_Import!$AE$2-CSV_Import!AE182)</f>
        <v>0</v>
      </c>
    </row>
    <row r="185" spans="2:12" x14ac:dyDescent="0.3">
      <c r="B185">
        <f>(CSV_Import!G183-CSV_Import!$G$2)/1000</f>
        <v>0</v>
      </c>
      <c r="D185">
        <f>ROUND(TAN(RADIANS(CSV_Import!D183))*((Auswertung!$C$7*100)/2-Auswertung!$C$8),3)</f>
        <v>0</v>
      </c>
      <c r="E185">
        <f>ROUND(TAN(RADIANS(CSV_Import!U183))*((Auswertung!$C$7/2)*100-Auswertung!$C$8),3)</f>
        <v>0</v>
      </c>
      <c r="F185">
        <f>ROUND(TAN(RADIANS(CSV_Import!B183))*((Auswertung!$C$7/2)*100-Auswertung!$C$8),3)</f>
        <v>0</v>
      </c>
      <c r="G185">
        <f>ROUND(TAN(RADIANS(CSV_Import!S183))*((Auswertung!$C$7/2)*100-Auswertung!$C$8),3)</f>
        <v>0</v>
      </c>
      <c r="H185">
        <f>ROUND(TAN(RADIANS(CSV_Import!E183))*((Auswertung!$C$7/2)*100-Auswertung!$C$8),3)</f>
        <v>0</v>
      </c>
      <c r="I185">
        <f>ROUND(TAN(RADIANS(CSV_Import!V183))*((Auswertung!$C$7/2)*100-Auswertung!$C$8),3)</f>
        <v>0</v>
      </c>
      <c r="K185">
        <f>(CSV_Import!$N$2-CSV_Import!N183)</f>
        <v>0</v>
      </c>
      <c r="L185">
        <f>(CSV_Import!$AE$2-CSV_Import!AE183)</f>
        <v>0</v>
      </c>
    </row>
    <row r="186" spans="2:12" x14ac:dyDescent="0.3">
      <c r="B186">
        <f>(CSV_Import!G184-CSV_Import!$G$2)/1000</f>
        <v>0</v>
      </c>
      <c r="D186">
        <f>ROUND(TAN(RADIANS(CSV_Import!D184))*((Auswertung!$C$7*100)/2-Auswertung!$C$8),3)</f>
        <v>0</v>
      </c>
      <c r="E186">
        <f>ROUND(TAN(RADIANS(CSV_Import!U184))*((Auswertung!$C$7/2)*100-Auswertung!$C$8),3)</f>
        <v>0</v>
      </c>
      <c r="F186">
        <f>ROUND(TAN(RADIANS(CSV_Import!B184))*((Auswertung!$C$7/2)*100-Auswertung!$C$8),3)</f>
        <v>0</v>
      </c>
      <c r="G186">
        <f>ROUND(TAN(RADIANS(CSV_Import!S184))*((Auswertung!$C$7/2)*100-Auswertung!$C$8),3)</f>
        <v>0</v>
      </c>
      <c r="H186">
        <f>ROUND(TAN(RADIANS(CSV_Import!E184))*((Auswertung!$C$7/2)*100-Auswertung!$C$8),3)</f>
        <v>0</v>
      </c>
      <c r="I186">
        <f>ROUND(TAN(RADIANS(CSV_Import!V184))*((Auswertung!$C$7/2)*100-Auswertung!$C$8),3)</f>
        <v>0</v>
      </c>
      <c r="K186">
        <f>(CSV_Import!$N$2-CSV_Import!N184)</f>
        <v>0</v>
      </c>
      <c r="L186">
        <f>(CSV_Import!$AE$2-CSV_Import!AE184)</f>
        <v>0</v>
      </c>
    </row>
    <row r="187" spans="2:12" x14ac:dyDescent="0.3">
      <c r="B187">
        <f>(CSV_Import!G185-CSV_Import!$G$2)/1000</f>
        <v>0</v>
      </c>
      <c r="D187">
        <f>ROUND(TAN(RADIANS(CSV_Import!D185))*((Auswertung!$C$7*100)/2-Auswertung!$C$8),3)</f>
        <v>0</v>
      </c>
      <c r="E187">
        <f>ROUND(TAN(RADIANS(CSV_Import!U185))*((Auswertung!$C$7/2)*100-Auswertung!$C$8),3)</f>
        <v>0</v>
      </c>
      <c r="F187">
        <f>ROUND(TAN(RADIANS(CSV_Import!B185))*((Auswertung!$C$7/2)*100-Auswertung!$C$8),3)</f>
        <v>0</v>
      </c>
      <c r="G187">
        <f>ROUND(TAN(RADIANS(CSV_Import!S185))*((Auswertung!$C$7/2)*100-Auswertung!$C$8),3)</f>
        <v>0</v>
      </c>
      <c r="H187">
        <f>ROUND(TAN(RADIANS(CSV_Import!E185))*((Auswertung!$C$7/2)*100-Auswertung!$C$8),3)</f>
        <v>0</v>
      </c>
      <c r="I187">
        <f>ROUND(TAN(RADIANS(CSV_Import!V185))*((Auswertung!$C$7/2)*100-Auswertung!$C$8),3)</f>
        <v>0</v>
      </c>
      <c r="K187">
        <f>(CSV_Import!$N$2-CSV_Import!N185)</f>
        <v>0</v>
      </c>
      <c r="L187">
        <f>(CSV_Import!$AE$2-CSV_Import!AE185)</f>
        <v>0</v>
      </c>
    </row>
    <row r="188" spans="2:12" x14ac:dyDescent="0.3">
      <c r="B188">
        <f>(CSV_Import!G186-CSV_Import!$G$2)/1000</f>
        <v>0</v>
      </c>
      <c r="D188">
        <f>ROUND(TAN(RADIANS(CSV_Import!D186))*((Auswertung!$C$7*100)/2-Auswertung!$C$8),3)</f>
        <v>0</v>
      </c>
      <c r="E188">
        <f>ROUND(TAN(RADIANS(CSV_Import!U186))*((Auswertung!$C$7/2)*100-Auswertung!$C$8),3)</f>
        <v>0</v>
      </c>
      <c r="F188">
        <f>ROUND(TAN(RADIANS(CSV_Import!B186))*((Auswertung!$C$7/2)*100-Auswertung!$C$8),3)</f>
        <v>0</v>
      </c>
      <c r="G188">
        <f>ROUND(TAN(RADIANS(CSV_Import!S186))*((Auswertung!$C$7/2)*100-Auswertung!$C$8),3)</f>
        <v>0</v>
      </c>
      <c r="H188">
        <f>ROUND(TAN(RADIANS(CSV_Import!E186))*((Auswertung!$C$7/2)*100-Auswertung!$C$8),3)</f>
        <v>0</v>
      </c>
      <c r="I188">
        <f>ROUND(TAN(RADIANS(CSV_Import!V186))*((Auswertung!$C$7/2)*100-Auswertung!$C$8),3)</f>
        <v>0</v>
      </c>
      <c r="K188">
        <f>(CSV_Import!$N$2-CSV_Import!N186)</f>
        <v>0</v>
      </c>
      <c r="L188">
        <f>(CSV_Import!$AE$2-CSV_Import!AE186)</f>
        <v>0</v>
      </c>
    </row>
    <row r="189" spans="2:12" x14ac:dyDescent="0.3">
      <c r="B189">
        <f>(CSV_Import!G187-CSV_Import!$G$2)/1000</f>
        <v>0</v>
      </c>
      <c r="D189">
        <f>ROUND(TAN(RADIANS(CSV_Import!D187))*((Auswertung!$C$7*100)/2-Auswertung!$C$8),3)</f>
        <v>0</v>
      </c>
      <c r="E189">
        <f>ROUND(TAN(RADIANS(CSV_Import!U187))*((Auswertung!$C$7/2)*100-Auswertung!$C$8),3)</f>
        <v>0</v>
      </c>
      <c r="F189">
        <f>ROUND(TAN(RADIANS(CSV_Import!B187))*((Auswertung!$C$7/2)*100-Auswertung!$C$8),3)</f>
        <v>0</v>
      </c>
      <c r="G189">
        <f>ROUND(TAN(RADIANS(CSV_Import!S187))*((Auswertung!$C$7/2)*100-Auswertung!$C$8),3)</f>
        <v>0</v>
      </c>
      <c r="H189">
        <f>ROUND(TAN(RADIANS(CSV_Import!E187))*((Auswertung!$C$7/2)*100-Auswertung!$C$8),3)</f>
        <v>0</v>
      </c>
      <c r="I189">
        <f>ROUND(TAN(RADIANS(CSV_Import!V187))*((Auswertung!$C$7/2)*100-Auswertung!$C$8),3)</f>
        <v>0</v>
      </c>
      <c r="K189">
        <f>(CSV_Import!$N$2-CSV_Import!N187)</f>
        <v>0</v>
      </c>
      <c r="L189">
        <f>(CSV_Import!$AE$2-CSV_Import!AE187)</f>
        <v>0</v>
      </c>
    </row>
    <row r="190" spans="2:12" x14ac:dyDescent="0.3">
      <c r="B190">
        <f>(CSV_Import!G188-CSV_Import!$G$2)/1000</f>
        <v>0</v>
      </c>
      <c r="D190">
        <f>ROUND(TAN(RADIANS(CSV_Import!D188))*((Auswertung!$C$7*100)/2-Auswertung!$C$8),3)</f>
        <v>0</v>
      </c>
      <c r="E190">
        <f>ROUND(TAN(RADIANS(CSV_Import!U188))*((Auswertung!$C$7/2)*100-Auswertung!$C$8),3)</f>
        <v>0</v>
      </c>
      <c r="F190">
        <f>ROUND(TAN(RADIANS(CSV_Import!B188))*((Auswertung!$C$7/2)*100-Auswertung!$C$8),3)</f>
        <v>0</v>
      </c>
      <c r="G190">
        <f>ROUND(TAN(RADIANS(CSV_Import!S188))*((Auswertung!$C$7/2)*100-Auswertung!$C$8),3)</f>
        <v>0</v>
      </c>
      <c r="H190">
        <f>ROUND(TAN(RADIANS(CSV_Import!E188))*((Auswertung!$C$7/2)*100-Auswertung!$C$8),3)</f>
        <v>0</v>
      </c>
      <c r="I190">
        <f>ROUND(TAN(RADIANS(CSV_Import!V188))*((Auswertung!$C$7/2)*100-Auswertung!$C$8),3)</f>
        <v>0</v>
      </c>
      <c r="K190">
        <f>(CSV_Import!$N$2-CSV_Import!N188)</f>
        <v>0</v>
      </c>
      <c r="L190">
        <f>(CSV_Import!$AE$2-CSV_Import!AE188)</f>
        <v>0</v>
      </c>
    </row>
    <row r="191" spans="2:12" x14ac:dyDescent="0.3">
      <c r="B191">
        <f>(CSV_Import!G189-CSV_Import!$G$2)/1000</f>
        <v>0</v>
      </c>
      <c r="D191">
        <f>ROUND(TAN(RADIANS(CSV_Import!D189))*((Auswertung!$C$7*100)/2-Auswertung!$C$8),3)</f>
        <v>0</v>
      </c>
      <c r="E191">
        <f>ROUND(TAN(RADIANS(CSV_Import!U189))*((Auswertung!$C$7/2)*100-Auswertung!$C$8),3)</f>
        <v>0</v>
      </c>
      <c r="F191">
        <f>ROUND(TAN(RADIANS(CSV_Import!B189))*((Auswertung!$C$7/2)*100-Auswertung!$C$8),3)</f>
        <v>0</v>
      </c>
      <c r="G191">
        <f>ROUND(TAN(RADIANS(CSV_Import!S189))*((Auswertung!$C$7/2)*100-Auswertung!$C$8),3)</f>
        <v>0</v>
      </c>
      <c r="H191">
        <f>ROUND(TAN(RADIANS(CSV_Import!E189))*((Auswertung!$C$7/2)*100-Auswertung!$C$8),3)</f>
        <v>0</v>
      </c>
      <c r="I191">
        <f>ROUND(TAN(RADIANS(CSV_Import!V189))*((Auswertung!$C$7/2)*100-Auswertung!$C$8),3)</f>
        <v>0</v>
      </c>
      <c r="K191">
        <f>(CSV_Import!$N$2-CSV_Import!N189)</f>
        <v>0</v>
      </c>
      <c r="L191">
        <f>(CSV_Import!$AE$2-CSV_Import!AE189)</f>
        <v>0</v>
      </c>
    </row>
    <row r="192" spans="2:12" x14ac:dyDescent="0.3">
      <c r="B192">
        <f>(CSV_Import!G190-CSV_Import!$G$2)/1000</f>
        <v>0</v>
      </c>
      <c r="D192">
        <f>ROUND(TAN(RADIANS(CSV_Import!D190))*((Auswertung!$C$7*100)/2-Auswertung!$C$8),3)</f>
        <v>0</v>
      </c>
      <c r="E192">
        <f>ROUND(TAN(RADIANS(CSV_Import!U190))*((Auswertung!$C$7/2)*100-Auswertung!$C$8),3)</f>
        <v>0</v>
      </c>
      <c r="F192">
        <f>ROUND(TAN(RADIANS(CSV_Import!B190))*((Auswertung!$C$7/2)*100-Auswertung!$C$8),3)</f>
        <v>0</v>
      </c>
      <c r="G192">
        <f>ROUND(TAN(RADIANS(CSV_Import!S190))*((Auswertung!$C$7/2)*100-Auswertung!$C$8),3)</f>
        <v>0</v>
      </c>
      <c r="H192">
        <f>ROUND(TAN(RADIANS(CSV_Import!E190))*((Auswertung!$C$7/2)*100-Auswertung!$C$8),3)</f>
        <v>0</v>
      </c>
      <c r="I192">
        <f>ROUND(TAN(RADIANS(CSV_Import!V190))*((Auswertung!$C$7/2)*100-Auswertung!$C$8),3)</f>
        <v>0</v>
      </c>
      <c r="K192">
        <f>(CSV_Import!$N$2-CSV_Import!N190)</f>
        <v>0</v>
      </c>
      <c r="L192">
        <f>(CSV_Import!$AE$2-CSV_Import!AE190)</f>
        <v>0</v>
      </c>
    </row>
    <row r="193" spans="2:12" x14ac:dyDescent="0.3">
      <c r="B193">
        <f>(CSV_Import!G191-CSV_Import!$G$2)/1000</f>
        <v>0</v>
      </c>
      <c r="D193">
        <f>ROUND(TAN(RADIANS(CSV_Import!D191))*((Auswertung!$C$7*100)/2-Auswertung!$C$8),3)</f>
        <v>0</v>
      </c>
      <c r="E193">
        <f>ROUND(TAN(RADIANS(CSV_Import!U191))*((Auswertung!$C$7/2)*100-Auswertung!$C$8),3)</f>
        <v>0</v>
      </c>
      <c r="F193">
        <f>ROUND(TAN(RADIANS(CSV_Import!B191))*((Auswertung!$C$7/2)*100-Auswertung!$C$8),3)</f>
        <v>0</v>
      </c>
      <c r="G193">
        <f>ROUND(TAN(RADIANS(CSV_Import!S191))*((Auswertung!$C$7/2)*100-Auswertung!$C$8),3)</f>
        <v>0</v>
      </c>
      <c r="H193">
        <f>ROUND(TAN(RADIANS(CSV_Import!E191))*((Auswertung!$C$7/2)*100-Auswertung!$C$8),3)</f>
        <v>0</v>
      </c>
      <c r="I193">
        <f>ROUND(TAN(RADIANS(CSV_Import!V191))*((Auswertung!$C$7/2)*100-Auswertung!$C$8),3)</f>
        <v>0</v>
      </c>
      <c r="K193">
        <f>(CSV_Import!$N$2-CSV_Import!N191)</f>
        <v>0</v>
      </c>
      <c r="L193">
        <f>(CSV_Import!$AE$2-CSV_Import!AE191)</f>
        <v>0</v>
      </c>
    </row>
    <row r="194" spans="2:12" x14ac:dyDescent="0.3">
      <c r="B194">
        <f>(CSV_Import!G192-CSV_Import!$G$2)/1000</f>
        <v>0</v>
      </c>
      <c r="D194">
        <f>ROUND(TAN(RADIANS(CSV_Import!D192))*((Auswertung!$C$7*100)/2-Auswertung!$C$8),3)</f>
        <v>0</v>
      </c>
      <c r="E194">
        <f>ROUND(TAN(RADIANS(CSV_Import!U192))*((Auswertung!$C$7/2)*100-Auswertung!$C$8),3)</f>
        <v>0</v>
      </c>
      <c r="F194">
        <f>ROUND(TAN(RADIANS(CSV_Import!B192))*((Auswertung!$C$7/2)*100-Auswertung!$C$8),3)</f>
        <v>0</v>
      </c>
      <c r="G194">
        <f>ROUND(TAN(RADIANS(CSV_Import!S192))*((Auswertung!$C$7/2)*100-Auswertung!$C$8),3)</f>
        <v>0</v>
      </c>
      <c r="H194">
        <f>ROUND(TAN(RADIANS(CSV_Import!E192))*((Auswertung!$C$7/2)*100-Auswertung!$C$8),3)</f>
        <v>0</v>
      </c>
      <c r="I194">
        <f>ROUND(TAN(RADIANS(CSV_Import!V192))*((Auswertung!$C$7/2)*100-Auswertung!$C$8),3)</f>
        <v>0</v>
      </c>
      <c r="K194">
        <f>(CSV_Import!$N$2-CSV_Import!N192)</f>
        <v>0</v>
      </c>
      <c r="L194">
        <f>(CSV_Import!$AE$2-CSV_Import!AE192)</f>
        <v>0</v>
      </c>
    </row>
    <row r="195" spans="2:12" x14ac:dyDescent="0.3">
      <c r="B195">
        <f>(CSV_Import!G193-CSV_Import!$G$2)/1000</f>
        <v>0</v>
      </c>
      <c r="D195">
        <f>ROUND(TAN(RADIANS(CSV_Import!D193))*((Auswertung!$C$7*100)/2-Auswertung!$C$8),3)</f>
        <v>0</v>
      </c>
      <c r="E195">
        <f>ROUND(TAN(RADIANS(CSV_Import!U193))*((Auswertung!$C$7/2)*100-Auswertung!$C$8),3)</f>
        <v>0</v>
      </c>
      <c r="F195">
        <f>ROUND(TAN(RADIANS(CSV_Import!B193))*((Auswertung!$C$7/2)*100-Auswertung!$C$8),3)</f>
        <v>0</v>
      </c>
      <c r="G195">
        <f>ROUND(TAN(RADIANS(CSV_Import!S193))*((Auswertung!$C$7/2)*100-Auswertung!$C$8),3)</f>
        <v>0</v>
      </c>
      <c r="H195">
        <f>ROUND(TAN(RADIANS(CSV_Import!E193))*((Auswertung!$C$7/2)*100-Auswertung!$C$8),3)</f>
        <v>0</v>
      </c>
      <c r="I195">
        <f>ROUND(TAN(RADIANS(CSV_Import!V193))*((Auswertung!$C$7/2)*100-Auswertung!$C$8),3)</f>
        <v>0</v>
      </c>
      <c r="K195">
        <f>(CSV_Import!$N$2-CSV_Import!N193)</f>
        <v>0</v>
      </c>
      <c r="L195">
        <f>(CSV_Import!$AE$2-CSV_Import!AE193)</f>
        <v>0</v>
      </c>
    </row>
    <row r="196" spans="2:12" x14ac:dyDescent="0.3">
      <c r="B196">
        <f>(CSV_Import!G194-CSV_Import!$G$2)/1000</f>
        <v>0</v>
      </c>
      <c r="D196">
        <f>ROUND(TAN(RADIANS(CSV_Import!D194))*((Auswertung!$C$7*100)/2-Auswertung!$C$8),3)</f>
        <v>0</v>
      </c>
      <c r="E196">
        <f>ROUND(TAN(RADIANS(CSV_Import!U194))*((Auswertung!$C$7/2)*100-Auswertung!$C$8),3)</f>
        <v>0</v>
      </c>
      <c r="F196">
        <f>ROUND(TAN(RADIANS(CSV_Import!B194))*((Auswertung!$C$7/2)*100-Auswertung!$C$8),3)</f>
        <v>0</v>
      </c>
      <c r="G196">
        <f>ROUND(TAN(RADIANS(CSV_Import!S194))*((Auswertung!$C$7/2)*100-Auswertung!$C$8),3)</f>
        <v>0</v>
      </c>
      <c r="H196">
        <f>ROUND(TAN(RADIANS(CSV_Import!E194))*((Auswertung!$C$7/2)*100-Auswertung!$C$8),3)</f>
        <v>0</v>
      </c>
      <c r="I196">
        <f>ROUND(TAN(RADIANS(CSV_Import!V194))*((Auswertung!$C$7/2)*100-Auswertung!$C$8),3)</f>
        <v>0</v>
      </c>
      <c r="K196">
        <f>(CSV_Import!$N$2-CSV_Import!N194)</f>
        <v>0</v>
      </c>
      <c r="L196">
        <f>(CSV_Import!$AE$2-CSV_Import!AE194)</f>
        <v>0</v>
      </c>
    </row>
    <row r="197" spans="2:12" x14ac:dyDescent="0.3">
      <c r="B197">
        <f>(CSV_Import!G195-CSV_Import!$G$2)/1000</f>
        <v>0</v>
      </c>
      <c r="D197">
        <f>ROUND(TAN(RADIANS(CSV_Import!D195))*((Auswertung!$C$7*100)/2-Auswertung!$C$8),3)</f>
        <v>0</v>
      </c>
      <c r="E197">
        <f>ROUND(TAN(RADIANS(CSV_Import!U195))*((Auswertung!$C$7/2)*100-Auswertung!$C$8),3)</f>
        <v>0</v>
      </c>
      <c r="F197">
        <f>ROUND(TAN(RADIANS(CSV_Import!B195))*((Auswertung!$C$7/2)*100-Auswertung!$C$8),3)</f>
        <v>0</v>
      </c>
      <c r="G197">
        <f>ROUND(TAN(RADIANS(CSV_Import!S195))*((Auswertung!$C$7/2)*100-Auswertung!$C$8),3)</f>
        <v>0</v>
      </c>
      <c r="H197">
        <f>ROUND(TAN(RADIANS(CSV_Import!E195))*((Auswertung!$C$7/2)*100-Auswertung!$C$8),3)</f>
        <v>0</v>
      </c>
      <c r="I197">
        <f>ROUND(TAN(RADIANS(CSV_Import!V195))*((Auswertung!$C$7/2)*100-Auswertung!$C$8),3)</f>
        <v>0</v>
      </c>
      <c r="K197">
        <f>(CSV_Import!$N$2-CSV_Import!N195)</f>
        <v>0</v>
      </c>
      <c r="L197">
        <f>(CSV_Import!$AE$2-CSV_Import!AE195)</f>
        <v>0</v>
      </c>
    </row>
    <row r="198" spans="2:12" x14ac:dyDescent="0.3">
      <c r="B198">
        <f>(CSV_Import!G196-CSV_Import!$G$2)/1000</f>
        <v>0</v>
      </c>
      <c r="D198">
        <f>ROUND(TAN(RADIANS(CSV_Import!D196))*((Auswertung!$C$7*100)/2-Auswertung!$C$8),3)</f>
        <v>0</v>
      </c>
      <c r="E198">
        <f>ROUND(TAN(RADIANS(CSV_Import!U196))*((Auswertung!$C$7/2)*100-Auswertung!$C$8),3)</f>
        <v>0</v>
      </c>
      <c r="F198">
        <f>ROUND(TAN(RADIANS(CSV_Import!B196))*((Auswertung!$C$7/2)*100-Auswertung!$C$8),3)</f>
        <v>0</v>
      </c>
      <c r="G198">
        <f>ROUND(TAN(RADIANS(CSV_Import!S196))*((Auswertung!$C$7/2)*100-Auswertung!$C$8),3)</f>
        <v>0</v>
      </c>
      <c r="H198">
        <f>ROUND(TAN(RADIANS(CSV_Import!E196))*((Auswertung!$C$7/2)*100-Auswertung!$C$8),3)</f>
        <v>0</v>
      </c>
      <c r="I198">
        <f>ROUND(TAN(RADIANS(CSV_Import!V196))*((Auswertung!$C$7/2)*100-Auswertung!$C$8),3)</f>
        <v>0</v>
      </c>
      <c r="K198">
        <f>(CSV_Import!$N$2-CSV_Import!N196)</f>
        <v>0</v>
      </c>
      <c r="L198">
        <f>(CSV_Import!$AE$2-CSV_Import!AE196)</f>
        <v>0</v>
      </c>
    </row>
    <row r="199" spans="2:12" x14ac:dyDescent="0.3">
      <c r="B199">
        <f>(CSV_Import!G197-CSV_Import!$G$2)/1000</f>
        <v>0</v>
      </c>
      <c r="D199">
        <f>ROUND(TAN(RADIANS(CSV_Import!D197))*((Auswertung!$C$7*100)/2-Auswertung!$C$8),3)</f>
        <v>0</v>
      </c>
      <c r="E199">
        <f>ROUND(TAN(RADIANS(CSV_Import!U197))*((Auswertung!$C$7/2)*100-Auswertung!$C$8),3)</f>
        <v>0</v>
      </c>
      <c r="F199">
        <f>ROUND(TAN(RADIANS(CSV_Import!B197))*((Auswertung!$C$7/2)*100-Auswertung!$C$8),3)</f>
        <v>0</v>
      </c>
      <c r="G199">
        <f>ROUND(TAN(RADIANS(CSV_Import!S197))*((Auswertung!$C$7/2)*100-Auswertung!$C$8),3)</f>
        <v>0</v>
      </c>
      <c r="H199">
        <f>ROUND(TAN(RADIANS(CSV_Import!E197))*((Auswertung!$C$7/2)*100-Auswertung!$C$8),3)</f>
        <v>0</v>
      </c>
      <c r="I199">
        <f>ROUND(TAN(RADIANS(CSV_Import!V197))*((Auswertung!$C$7/2)*100-Auswertung!$C$8),3)</f>
        <v>0</v>
      </c>
      <c r="K199">
        <f>(CSV_Import!$N$2-CSV_Import!N197)</f>
        <v>0</v>
      </c>
      <c r="L199">
        <f>(CSV_Import!$AE$2-CSV_Import!AE197)</f>
        <v>0</v>
      </c>
    </row>
    <row r="200" spans="2:12" x14ac:dyDescent="0.3">
      <c r="B200">
        <f>(CSV_Import!G198-CSV_Import!$G$2)/1000</f>
        <v>0</v>
      </c>
      <c r="D200">
        <f>ROUND(TAN(RADIANS(CSV_Import!D198))*((Auswertung!$C$7*100)/2-Auswertung!$C$8),3)</f>
        <v>0</v>
      </c>
      <c r="E200">
        <f>ROUND(TAN(RADIANS(CSV_Import!U198))*((Auswertung!$C$7/2)*100-Auswertung!$C$8),3)</f>
        <v>0</v>
      </c>
      <c r="F200">
        <f>ROUND(TAN(RADIANS(CSV_Import!B198))*((Auswertung!$C$7/2)*100-Auswertung!$C$8),3)</f>
        <v>0</v>
      </c>
      <c r="G200">
        <f>ROUND(TAN(RADIANS(CSV_Import!S198))*((Auswertung!$C$7/2)*100-Auswertung!$C$8),3)</f>
        <v>0</v>
      </c>
      <c r="H200">
        <f>ROUND(TAN(RADIANS(CSV_Import!E198))*((Auswertung!$C$7/2)*100-Auswertung!$C$8),3)</f>
        <v>0</v>
      </c>
      <c r="I200">
        <f>ROUND(TAN(RADIANS(CSV_Import!V198))*((Auswertung!$C$7/2)*100-Auswertung!$C$8),3)</f>
        <v>0</v>
      </c>
      <c r="K200">
        <f>(CSV_Import!$N$2-CSV_Import!N198)</f>
        <v>0</v>
      </c>
      <c r="L200">
        <f>(CSV_Import!$AE$2-CSV_Import!AE198)</f>
        <v>0</v>
      </c>
    </row>
    <row r="201" spans="2:12" x14ac:dyDescent="0.3">
      <c r="B201">
        <f>(CSV_Import!G199-CSV_Import!$G$2)/1000</f>
        <v>0</v>
      </c>
      <c r="D201">
        <f>ROUND(TAN(RADIANS(CSV_Import!D199))*((Auswertung!$C$7*100)/2-Auswertung!$C$8),3)</f>
        <v>0</v>
      </c>
      <c r="E201">
        <f>ROUND(TAN(RADIANS(CSV_Import!U199))*((Auswertung!$C$7/2)*100-Auswertung!$C$8),3)</f>
        <v>0</v>
      </c>
      <c r="F201">
        <f>ROUND(TAN(RADIANS(CSV_Import!B199))*((Auswertung!$C$7/2)*100-Auswertung!$C$8),3)</f>
        <v>0</v>
      </c>
      <c r="G201">
        <f>ROUND(TAN(RADIANS(CSV_Import!S199))*((Auswertung!$C$7/2)*100-Auswertung!$C$8),3)</f>
        <v>0</v>
      </c>
      <c r="H201">
        <f>ROUND(TAN(RADIANS(CSV_Import!E199))*((Auswertung!$C$7/2)*100-Auswertung!$C$8),3)</f>
        <v>0</v>
      </c>
      <c r="I201">
        <f>ROUND(TAN(RADIANS(CSV_Import!V199))*((Auswertung!$C$7/2)*100-Auswertung!$C$8),3)</f>
        <v>0</v>
      </c>
      <c r="K201">
        <f>(CSV_Import!$N$2-CSV_Import!N199)</f>
        <v>0</v>
      </c>
      <c r="L201">
        <f>(CSV_Import!$AE$2-CSV_Import!AE199)</f>
        <v>0</v>
      </c>
    </row>
    <row r="202" spans="2:12" x14ac:dyDescent="0.3">
      <c r="B202">
        <f>(CSV_Import!G200-CSV_Import!$G$2)/1000</f>
        <v>0</v>
      </c>
      <c r="D202">
        <f>ROUND(TAN(RADIANS(CSV_Import!D200))*((Auswertung!$C$7*100)/2-Auswertung!$C$8),3)</f>
        <v>0</v>
      </c>
      <c r="E202">
        <f>ROUND(TAN(RADIANS(CSV_Import!U200))*((Auswertung!$C$7/2)*100-Auswertung!$C$8),3)</f>
        <v>0</v>
      </c>
      <c r="F202">
        <f>ROUND(TAN(RADIANS(CSV_Import!B200))*((Auswertung!$C$7/2)*100-Auswertung!$C$8),3)</f>
        <v>0</v>
      </c>
      <c r="G202">
        <f>ROUND(TAN(RADIANS(CSV_Import!S200))*((Auswertung!$C$7/2)*100-Auswertung!$C$8),3)</f>
        <v>0</v>
      </c>
      <c r="H202">
        <f>ROUND(TAN(RADIANS(CSV_Import!E200))*((Auswertung!$C$7/2)*100-Auswertung!$C$8),3)</f>
        <v>0</v>
      </c>
      <c r="I202">
        <f>ROUND(TAN(RADIANS(CSV_Import!V200))*((Auswertung!$C$7/2)*100-Auswertung!$C$8),3)</f>
        <v>0</v>
      </c>
      <c r="K202">
        <f>(CSV_Import!$N$2-CSV_Import!N200)</f>
        <v>0</v>
      </c>
      <c r="L202">
        <f>(CSV_Import!$AE$2-CSV_Import!AE200)</f>
        <v>0</v>
      </c>
    </row>
    <row r="203" spans="2:12" x14ac:dyDescent="0.3">
      <c r="B203">
        <f>(CSV_Import!G201-CSV_Import!$G$2)/1000</f>
        <v>0</v>
      </c>
      <c r="D203">
        <f>ROUND(TAN(RADIANS(CSV_Import!D201))*((Auswertung!$C$7*100)/2-Auswertung!$C$8),3)</f>
        <v>0</v>
      </c>
      <c r="E203">
        <f>ROUND(TAN(RADIANS(CSV_Import!U201))*((Auswertung!$C$7/2)*100-Auswertung!$C$8),3)</f>
        <v>0</v>
      </c>
      <c r="F203">
        <f>ROUND(TAN(RADIANS(CSV_Import!B201))*((Auswertung!$C$7/2)*100-Auswertung!$C$8),3)</f>
        <v>0</v>
      </c>
      <c r="G203">
        <f>ROUND(TAN(RADIANS(CSV_Import!S201))*((Auswertung!$C$7/2)*100-Auswertung!$C$8),3)</f>
        <v>0</v>
      </c>
      <c r="H203">
        <f>ROUND(TAN(RADIANS(CSV_Import!E201))*((Auswertung!$C$7/2)*100-Auswertung!$C$8),3)</f>
        <v>0</v>
      </c>
      <c r="I203">
        <f>ROUND(TAN(RADIANS(CSV_Import!V201))*((Auswertung!$C$7/2)*100-Auswertung!$C$8),3)</f>
        <v>0</v>
      </c>
      <c r="K203">
        <f>(CSV_Import!$N$2-CSV_Import!N201)</f>
        <v>0</v>
      </c>
      <c r="L203">
        <f>(CSV_Import!$AE$2-CSV_Import!AE201)</f>
        <v>0</v>
      </c>
    </row>
    <row r="204" spans="2:12" x14ac:dyDescent="0.3">
      <c r="B204">
        <f>(CSV_Import!G202-CSV_Import!$G$2)/1000</f>
        <v>0</v>
      </c>
      <c r="D204">
        <f>ROUND(TAN(RADIANS(CSV_Import!D202))*((Auswertung!$C$7*100)/2-Auswertung!$C$8),3)</f>
        <v>0</v>
      </c>
      <c r="E204">
        <f>ROUND(TAN(RADIANS(CSV_Import!U202))*((Auswertung!$C$7/2)*100-Auswertung!$C$8),3)</f>
        <v>0</v>
      </c>
      <c r="F204">
        <f>ROUND(TAN(RADIANS(CSV_Import!B202))*((Auswertung!$C$7/2)*100-Auswertung!$C$8),3)</f>
        <v>0</v>
      </c>
      <c r="G204">
        <f>ROUND(TAN(RADIANS(CSV_Import!S202))*((Auswertung!$C$7/2)*100-Auswertung!$C$8),3)</f>
        <v>0</v>
      </c>
      <c r="H204">
        <f>ROUND(TAN(RADIANS(CSV_Import!E202))*((Auswertung!$C$7/2)*100-Auswertung!$C$8),3)</f>
        <v>0</v>
      </c>
      <c r="I204">
        <f>ROUND(TAN(RADIANS(CSV_Import!V202))*((Auswertung!$C$7/2)*100-Auswertung!$C$8),3)</f>
        <v>0</v>
      </c>
      <c r="K204">
        <f>(CSV_Import!$N$2-CSV_Import!N202)</f>
        <v>0</v>
      </c>
      <c r="L204">
        <f>(CSV_Import!$AE$2-CSV_Import!AE202)</f>
        <v>0</v>
      </c>
    </row>
    <row r="205" spans="2:12" x14ac:dyDescent="0.3">
      <c r="B205">
        <f>(CSV_Import!G203-CSV_Import!$G$2)/1000</f>
        <v>0</v>
      </c>
      <c r="D205">
        <f>ROUND(TAN(RADIANS(CSV_Import!D203))*((Auswertung!$C$7*100)/2-Auswertung!$C$8),3)</f>
        <v>0</v>
      </c>
      <c r="E205">
        <f>ROUND(TAN(RADIANS(CSV_Import!U203))*((Auswertung!$C$7/2)*100-Auswertung!$C$8),3)</f>
        <v>0</v>
      </c>
      <c r="F205">
        <f>ROUND(TAN(RADIANS(CSV_Import!B203))*((Auswertung!$C$7/2)*100-Auswertung!$C$8),3)</f>
        <v>0</v>
      </c>
      <c r="G205">
        <f>ROUND(TAN(RADIANS(CSV_Import!S203))*((Auswertung!$C$7/2)*100-Auswertung!$C$8),3)</f>
        <v>0</v>
      </c>
      <c r="H205">
        <f>ROUND(TAN(RADIANS(CSV_Import!E203))*((Auswertung!$C$7/2)*100-Auswertung!$C$8),3)</f>
        <v>0</v>
      </c>
      <c r="I205">
        <f>ROUND(TAN(RADIANS(CSV_Import!V203))*((Auswertung!$C$7/2)*100-Auswertung!$C$8),3)</f>
        <v>0</v>
      </c>
      <c r="K205">
        <f>(CSV_Import!$N$2-CSV_Import!N203)</f>
        <v>0</v>
      </c>
      <c r="L205">
        <f>(CSV_Import!$AE$2-CSV_Import!AE203)</f>
        <v>0</v>
      </c>
    </row>
    <row r="206" spans="2:12" x14ac:dyDescent="0.3">
      <c r="B206">
        <f>(CSV_Import!G204-CSV_Import!$G$2)/1000</f>
        <v>0</v>
      </c>
      <c r="D206">
        <f>ROUND(TAN(RADIANS(CSV_Import!D204))*((Auswertung!$C$7*100)/2-Auswertung!$C$8),3)</f>
        <v>0</v>
      </c>
      <c r="E206">
        <f>ROUND(TAN(RADIANS(CSV_Import!U204))*((Auswertung!$C$7/2)*100-Auswertung!$C$8),3)</f>
        <v>0</v>
      </c>
      <c r="F206">
        <f>ROUND(TAN(RADIANS(CSV_Import!B204))*((Auswertung!$C$7/2)*100-Auswertung!$C$8),3)</f>
        <v>0</v>
      </c>
      <c r="G206">
        <f>ROUND(TAN(RADIANS(CSV_Import!S204))*((Auswertung!$C$7/2)*100-Auswertung!$C$8),3)</f>
        <v>0</v>
      </c>
      <c r="H206">
        <f>ROUND(TAN(RADIANS(CSV_Import!E204))*((Auswertung!$C$7/2)*100-Auswertung!$C$8),3)</f>
        <v>0</v>
      </c>
      <c r="I206">
        <f>ROUND(TAN(RADIANS(CSV_Import!V204))*((Auswertung!$C$7/2)*100-Auswertung!$C$8),3)</f>
        <v>0</v>
      </c>
      <c r="K206">
        <f>(CSV_Import!$N$2-CSV_Import!N204)</f>
        <v>0</v>
      </c>
      <c r="L206">
        <f>(CSV_Import!$AE$2-CSV_Import!AE204)</f>
        <v>0</v>
      </c>
    </row>
    <row r="207" spans="2:12" x14ac:dyDescent="0.3">
      <c r="B207">
        <f>(CSV_Import!G205-CSV_Import!$G$2)/1000</f>
        <v>0</v>
      </c>
      <c r="D207">
        <f>ROUND(TAN(RADIANS(CSV_Import!D205))*((Auswertung!$C$7*100)/2-Auswertung!$C$8),3)</f>
        <v>0</v>
      </c>
      <c r="E207">
        <f>ROUND(TAN(RADIANS(CSV_Import!U205))*((Auswertung!$C$7/2)*100-Auswertung!$C$8),3)</f>
        <v>0</v>
      </c>
      <c r="F207">
        <f>ROUND(TAN(RADIANS(CSV_Import!B205))*((Auswertung!$C$7/2)*100-Auswertung!$C$8),3)</f>
        <v>0</v>
      </c>
      <c r="G207">
        <f>ROUND(TAN(RADIANS(CSV_Import!S205))*((Auswertung!$C$7/2)*100-Auswertung!$C$8),3)</f>
        <v>0</v>
      </c>
      <c r="H207">
        <f>ROUND(TAN(RADIANS(CSV_Import!E205))*((Auswertung!$C$7/2)*100-Auswertung!$C$8),3)</f>
        <v>0</v>
      </c>
      <c r="I207">
        <f>ROUND(TAN(RADIANS(CSV_Import!V205))*((Auswertung!$C$7/2)*100-Auswertung!$C$8),3)</f>
        <v>0</v>
      </c>
      <c r="K207">
        <f>(CSV_Import!$N$2-CSV_Import!N205)</f>
        <v>0</v>
      </c>
      <c r="L207">
        <f>(CSV_Import!$AE$2-CSV_Import!AE205)</f>
        <v>0</v>
      </c>
    </row>
    <row r="208" spans="2:12" x14ac:dyDescent="0.3">
      <c r="B208">
        <f>(CSV_Import!G206-CSV_Import!$G$2)/1000</f>
        <v>0</v>
      </c>
      <c r="D208">
        <f>ROUND(TAN(RADIANS(CSV_Import!D206))*((Auswertung!$C$7*100)/2-Auswertung!$C$8),3)</f>
        <v>0</v>
      </c>
      <c r="E208">
        <f>ROUND(TAN(RADIANS(CSV_Import!U206))*((Auswertung!$C$7/2)*100-Auswertung!$C$8),3)</f>
        <v>0</v>
      </c>
      <c r="F208">
        <f>ROUND(TAN(RADIANS(CSV_Import!B206))*((Auswertung!$C$7/2)*100-Auswertung!$C$8),3)</f>
        <v>0</v>
      </c>
      <c r="G208">
        <f>ROUND(TAN(RADIANS(CSV_Import!S206))*((Auswertung!$C$7/2)*100-Auswertung!$C$8),3)</f>
        <v>0</v>
      </c>
      <c r="H208">
        <f>ROUND(TAN(RADIANS(CSV_Import!E206))*((Auswertung!$C$7/2)*100-Auswertung!$C$8),3)</f>
        <v>0</v>
      </c>
      <c r="I208">
        <f>ROUND(TAN(RADIANS(CSV_Import!V206))*((Auswertung!$C$7/2)*100-Auswertung!$C$8),3)</f>
        <v>0</v>
      </c>
      <c r="K208">
        <f>(CSV_Import!$N$2-CSV_Import!N206)</f>
        <v>0</v>
      </c>
      <c r="L208">
        <f>(CSV_Import!$AE$2-CSV_Import!AE206)</f>
        <v>0</v>
      </c>
    </row>
    <row r="209" spans="2:12" x14ac:dyDescent="0.3">
      <c r="B209">
        <f>(CSV_Import!G207-CSV_Import!$G$2)/1000</f>
        <v>0</v>
      </c>
      <c r="D209">
        <f>ROUND(TAN(RADIANS(CSV_Import!D207))*((Auswertung!$C$7*100)/2-Auswertung!$C$8),3)</f>
        <v>0</v>
      </c>
      <c r="E209">
        <f>ROUND(TAN(RADIANS(CSV_Import!U207))*((Auswertung!$C$7/2)*100-Auswertung!$C$8),3)</f>
        <v>0</v>
      </c>
      <c r="F209">
        <f>ROUND(TAN(RADIANS(CSV_Import!B207))*((Auswertung!$C$7/2)*100-Auswertung!$C$8),3)</f>
        <v>0</v>
      </c>
      <c r="G209">
        <f>ROUND(TAN(RADIANS(CSV_Import!S207))*((Auswertung!$C$7/2)*100-Auswertung!$C$8),3)</f>
        <v>0</v>
      </c>
      <c r="H209">
        <f>ROUND(TAN(RADIANS(CSV_Import!E207))*((Auswertung!$C$7/2)*100-Auswertung!$C$8),3)</f>
        <v>0</v>
      </c>
      <c r="I209">
        <f>ROUND(TAN(RADIANS(CSV_Import!V207))*((Auswertung!$C$7/2)*100-Auswertung!$C$8),3)</f>
        <v>0</v>
      </c>
      <c r="K209">
        <f>(CSV_Import!$N$2-CSV_Import!N207)</f>
        <v>0</v>
      </c>
      <c r="L209">
        <f>(CSV_Import!$AE$2-CSV_Import!AE207)</f>
        <v>0</v>
      </c>
    </row>
    <row r="210" spans="2:12" x14ac:dyDescent="0.3">
      <c r="B210">
        <f>(CSV_Import!G208-CSV_Import!$G$2)/1000</f>
        <v>0</v>
      </c>
      <c r="D210">
        <f>ROUND(TAN(RADIANS(CSV_Import!D208))*((Auswertung!$C$7*100)/2-Auswertung!$C$8),3)</f>
        <v>0</v>
      </c>
      <c r="E210">
        <f>ROUND(TAN(RADIANS(CSV_Import!U208))*((Auswertung!$C$7/2)*100-Auswertung!$C$8),3)</f>
        <v>0</v>
      </c>
      <c r="F210">
        <f>ROUND(TAN(RADIANS(CSV_Import!B208))*((Auswertung!$C$7/2)*100-Auswertung!$C$8),3)</f>
        <v>0</v>
      </c>
      <c r="G210">
        <f>ROUND(TAN(RADIANS(CSV_Import!S208))*((Auswertung!$C$7/2)*100-Auswertung!$C$8),3)</f>
        <v>0</v>
      </c>
      <c r="H210">
        <f>ROUND(TAN(RADIANS(CSV_Import!E208))*((Auswertung!$C$7/2)*100-Auswertung!$C$8),3)</f>
        <v>0</v>
      </c>
      <c r="I210">
        <f>ROUND(TAN(RADIANS(CSV_Import!V208))*((Auswertung!$C$7/2)*100-Auswertung!$C$8),3)</f>
        <v>0</v>
      </c>
      <c r="K210">
        <f>(CSV_Import!$N$2-CSV_Import!N208)</f>
        <v>0</v>
      </c>
      <c r="L210">
        <f>(CSV_Import!$AE$2-CSV_Import!AE208)</f>
        <v>0</v>
      </c>
    </row>
    <row r="211" spans="2:12" x14ac:dyDescent="0.3">
      <c r="B211">
        <f>(CSV_Import!G209-CSV_Import!$G$2)/1000</f>
        <v>0</v>
      </c>
      <c r="D211">
        <f>ROUND(TAN(RADIANS(CSV_Import!D209))*((Auswertung!$C$7*100)/2-Auswertung!$C$8),3)</f>
        <v>0</v>
      </c>
      <c r="E211">
        <f>ROUND(TAN(RADIANS(CSV_Import!U209))*((Auswertung!$C$7/2)*100-Auswertung!$C$8),3)</f>
        <v>0</v>
      </c>
      <c r="F211">
        <f>ROUND(TAN(RADIANS(CSV_Import!B209))*((Auswertung!$C$7/2)*100-Auswertung!$C$8),3)</f>
        <v>0</v>
      </c>
      <c r="G211">
        <f>ROUND(TAN(RADIANS(CSV_Import!S209))*((Auswertung!$C$7/2)*100-Auswertung!$C$8),3)</f>
        <v>0</v>
      </c>
      <c r="H211">
        <f>ROUND(TAN(RADIANS(CSV_Import!E209))*((Auswertung!$C$7/2)*100-Auswertung!$C$8),3)</f>
        <v>0</v>
      </c>
      <c r="I211">
        <f>ROUND(TAN(RADIANS(CSV_Import!V209))*((Auswertung!$C$7/2)*100-Auswertung!$C$8),3)</f>
        <v>0</v>
      </c>
      <c r="K211">
        <f>(CSV_Import!$N$2-CSV_Import!N209)</f>
        <v>0</v>
      </c>
      <c r="L211">
        <f>(CSV_Import!$AE$2-CSV_Import!AE209)</f>
        <v>0</v>
      </c>
    </row>
    <row r="212" spans="2:12" x14ac:dyDescent="0.3">
      <c r="B212">
        <f>(CSV_Import!G210-CSV_Import!$G$2)/1000</f>
        <v>0</v>
      </c>
      <c r="D212">
        <f>ROUND(TAN(RADIANS(CSV_Import!D210))*((Auswertung!$C$7*100)/2-Auswertung!$C$8),3)</f>
        <v>0</v>
      </c>
      <c r="E212">
        <f>ROUND(TAN(RADIANS(CSV_Import!U210))*((Auswertung!$C$7/2)*100-Auswertung!$C$8),3)</f>
        <v>0</v>
      </c>
      <c r="F212">
        <f>ROUND(TAN(RADIANS(CSV_Import!B210))*((Auswertung!$C$7/2)*100-Auswertung!$C$8),3)</f>
        <v>0</v>
      </c>
      <c r="G212">
        <f>ROUND(TAN(RADIANS(CSV_Import!S210))*((Auswertung!$C$7/2)*100-Auswertung!$C$8),3)</f>
        <v>0</v>
      </c>
      <c r="H212">
        <f>ROUND(TAN(RADIANS(CSV_Import!E210))*((Auswertung!$C$7/2)*100-Auswertung!$C$8),3)</f>
        <v>0</v>
      </c>
      <c r="I212">
        <f>ROUND(TAN(RADIANS(CSV_Import!V210))*((Auswertung!$C$7/2)*100-Auswertung!$C$8),3)</f>
        <v>0</v>
      </c>
      <c r="K212">
        <f>(CSV_Import!$N$2-CSV_Import!N210)</f>
        <v>0</v>
      </c>
      <c r="L212">
        <f>(CSV_Import!$AE$2-CSV_Import!AE210)</f>
        <v>0</v>
      </c>
    </row>
    <row r="213" spans="2:12" x14ac:dyDescent="0.3">
      <c r="B213">
        <f>(CSV_Import!G211-CSV_Import!$G$2)/1000</f>
        <v>0</v>
      </c>
      <c r="D213">
        <f>ROUND(TAN(RADIANS(CSV_Import!D211))*((Auswertung!$C$7*100)/2-Auswertung!$C$8),3)</f>
        <v>0</v>
      </c>
      <c r="E213">
        <f>ROUND(TAN(RADIANS(CSV_Import!U211))*((Auswertung!$C$7/2)*100-Auswertung!$C$8),3)</f>
        <v>0</v>
      </c>
      <c r="F213">
        <f>ROUND(TAN(RADIANS(CSV_Import!B211))*((Auswertung!$C$7/2)*100-Auswertung!$C$8),3)</f>
        <v>0</v>
      </c>
      <c r="G213">
        <f>ROUND(TAN(RADIANS(CSV_Import!S211))*((Auswertung!$C$7/2)*100-Auswertung!$C$8),3)</f>
        <v>0</v>
      </c>
      <c r="H213">
        <f>ROUND(TAN(RADIANS(CSV_Import!E211))*((Auswertung!$C$7/2)*100-Auswertung!$C$8),3)</f>
        <v>0</v>
      </c>
      <c r="I213">
        <f>ROUND(TAN(RADIANS(CSV_Import!V211))*((Auswertung!$C$7/2)*100-Auswertung!$C$8),3)</f>
        <v>0</v>
      </c>
      <c r="K213">
        <f>(CSV_Import!$N$2-CSV_Import!N211)</f>
        <v>0</v>
      </c>
      <c r="L213">
        <f>(CSV_Import!$AE$2-CSV_Import!AE211)</f>
        <v>0</v>
      </c>
    </row>
    <row r="214" spans="2:12" x14ac:dyDescent="0.3">
      <c r="B214">
        <f>(CSV_Import!G212-CSV_Import!$G$2)/1000</f>
        <v>0</v>
      </c>
      <c r="D214">
        <f>ROUND(TAN(RADIANS(CSV_Import!D212))*((Auswertung!$C$7*100)/2-Auswertung!$C$8),3)</f>
        <v>0</v>
      </c>
      <c r="E214">
        <f>ROUND(TAN(RADIANS(CSV_Import!U212))*((Auswertung!$C$7/2)*100-Auswertung!$C$8),3)</f>
        <v>0</v>
      </c>
      <c r="F214">
        <f>ROUND(TAN(RADIANS(CSV_Import!B212))*((Auswertung!$C$7/2)*100-Auswertung!$C$8),3)</f>
        <v>0</v>
      </c>
      <c r="G214">
        <f>ROUND(TAN(RADIANS(CSV_Import!S212))*((Auswertung!$C$7/2)*100-Auswertung!$C$8),3)</f>
        <v>0</v>
      </c>
      <c r="H214">
        <f>ROUND(TAN(RADIANS(CSV_Import!E212))*((Auswertung!$C$7/2)*100-Auswertung!$C$8),3)</f>
        <v>0</v>
      </c>
      <c r="I214">
        <f>ROUND(TAN(RADIANS(CSV_Import!V212))*((Auswertung!$C$7/2)*100-Auswertung!$C$8),3)</f>
        <v>0</v>
      </c>
      <c r="K214">
        <f>(CSV_Import!$N$2-CSV_Import!N212)</f>
        <v>0</v>
      </c>
      <c r="L214">
        <f>(CSV_Import!$AE$2-CSV_Import!AE212)</f>
        <v>0</v>
      </c>
    </row>
    <row r="215" spans="2:12" x14ac:dyDescent="0.3">
      <c r="B215">
        <f>(CSV_Import!G213-CSV_Import!$G$2)/1000</f>
        <v>0</v>
      </c>
      <c r="D215">
        <f>ROUND(TAN(RADIANS(CSV_Import!D213))*((Auswertung!$C$7*100)/2-Auswertung!$C$8),3)</f>
        <v>0</v>
      </c>
      <c r="E215">
        <f>ROUND(TAN(RADIANS(CSV_Import!U213))*((Auswertung!$C$7/2)*100-Auswertung!$C$8),3)</f>
        <v>0</v>
      </c>
      <c r="F215">
        <f>ROUND(TAN(RADIANS(CSV_Import!B213))*((Auswertung!$C$7/2)*100-Auswertung!$C$8),3)</f>
        <v>0</v>
      </c>
      <c r="G215">
        <f>ROUND(TAN(RADIANS(CSV_Import!S213))*((Auswertung!$C$7/2)*100-Auswertung!$C$8),3)</f>
        <v>0</v>
      </c>
      <c r="H215">
        <f>ROUND(TAN(RADIANS(CSV_Import!E213))*((Auswertung!$C$7/2)*100-Auswertung!$C$8),3)</f>
        <v>0</v>
      </c>
      <c r="I215">
        <f>ROUND(TAN(RADIANS(CSV_Import!V213))*((Auswertung!$C$7/2)*100-Auswertung!$C$8),3)</f>
        <v>0</v>
      </c>
      <c r="K215">
        <f>(CSV_Import!$N$2-CSV_Import!N213)</f>
        <v>0</v>
      </c>
      <c r="L215">
        <f>(CSV_Import!$AE$2-CSV_Import!AE213)</f>
        <v>0</v>
      </c>
    </row>
    <row r="216" spans="2:12" x14ac:dyDescent="0.3">
      <c r="B216">
        <f>(CSV_Import!G214-CSV_Import!$G$2)/1000</f>
        <v>0</v>
      </c>
      <c r="D216">
        <f>ROUND(TAN(RADIANS(CSV_Import!D214))*((Auswertung!$C$7*100)/2-Auswertung!$C$8),3)</f>
        <v>0</v>
      </c>
      <c r="E216">
        <f>ROUND(TAN(RADIANS(CSV_Import!U214))*((Auswertung!$C$7/2)*100-Auswertung!$C$8),3)</f>
        <v>0</v>
      </c>
      <c r="F216">
        <f>ROUND(TAN(RADIANS(CSV_Import!B214))*((Auswertung!$C$7/2)*100-Auswertung!$C$8),3)</f>
        <v>0</v>
      </c>
      <c r="G216">
        <f>ROUND(TAN(RADIANS(CSV_Import!S214))*((Auswertung!$C$7/2)*100-Auswertung!$C$8),3)</f>
        <v>0</v>
      </c>
      <c r="H216">
        <f>ROUND(TAN(RADIANS(CSV_Import!E214))*((Auswertung!$C$7/2)*100-Auswertung!$C$8),3)</f>
        <v>0</v>
      </c>
      <c r="I216">
        <f>ROUND(TAN(RADIANS(CSV_Import!V214))*((Auswertung!$C$7/2)*100-Auswertung!$C$8),3)</f>
        <v>0</v>
      </c>
      <c r="K216">
        <f>(CSV_Import!$N$2-CSV_Import!N214)</f>
        <v>0</v>
      </c>
      <c r="L216">
        <f>(CSV_Import!$AE$2-CSV_Import!AE214)</f>
        <v>0</v>
      </c>
    </row>
    <row r="217" spans="2:12" x14ac:dyDescent="0.3">
      <c r="B217">
        <f>(CSV_Import!G215-CSV_Import!$G$2)/1000</f>
        <v>0</v>
      </c>
      <c r="D217">
        <f>ROUND(TAN(RADIANS(CSV_Import!D215))*((Auswertung!$C$7*100)/2-Auswertung!$C$8),3)</f>
        <v>0</v>
      </c>
      <c r="E217">
        <f>ROUND(TAN(RADIANS(CSV_Import!U215))*((Auswertung!$C$7/2)*100-Auswertung!$C$8),3)</f>
        <v>0</v>
      </c>
      <c r="F217">
        <f>ROUND(TAN(RADIANS(CSV_Import!B215))*((Auswertung!$C$7/2)*100-Auswertung!$C$8),3)</f>
        <v>0</v>
      </c>
      <c r="G217">
        <f>ROUND(TAN(RADIANS(CSV_Import!S215))*((Auswertung!$C$7/2)*100-Auswertung!$C$8),3)</f>
        <v>0</v>
      </c>
      <c r="H217">
        <f>ROUND(TAN(RADIANS(CSV_Import!E215))*((Auswertung!$C$7/2)*100-Auswertung!$C$8),3)</f>
        <v>0</v>
      </c>
      <c r="I217">
        <f>ROUND(TAN(RADIANS(CSV_Import!V215))*((Auswertung!$C$7/2)*100-Auswertung!$C$8),3)</f>
        <v>0</v>
      </c>
      <c r="K217">
        <f>(CSV_Import!$N$2-CSV_Import!N215)</f>
        <v>0</v>
      </c>
      <c r="L217">
        <f>(CSV_Import!$AE$2-CSV_Import!AE215)</f>
        <v>0</v>
      </c>
    </row>
    <row r="218" spans="2:12" x14ac:dyDescent="0.3">
      <c r="B218">
        <f>(CSV_Import!G216-CSV_Import!$G$2)/1000</f>
        <v>0</v>
      </c>
      <c r="D218">
        <f>ROUND(TAN(RADIANS(CSV_Import!D216))*((Auswertung!$C$7*100)/2-Auswertung!$C$8),3)</f>
        <v>0</v>
      </c>
      <c r="E218">
        <f>ROUND(TAN(RADIANS(CSV_Import!U216))*((Auswertung!$C$7/2)*100-Auswertung!$C$8),3)</f>
        <v>0</v>
      </c>
      <c r="F218">
        <f>ROUND(TAN(RADIANS(CSV_Import!B216))*((Auswertung!$C$7/2)*100-Auswertung!$C$8),3)</f>
        <v>0</v>
      </c>
      <c r="G218">
        <f>ROUND(TAN(RADIANS(CSV_Import!S216))*((Auswertung!$C$7/2)*100-Auswertung!$C$8),3)</f>
        <v>0</v>
      </c>
      <c r="H218">
        <f>ROUND(TAN(RADIANS(CSV_Import!E216))*((Auswertung!$C$7/2)*100-Auswertung!$C$8),3)</f>
        <v>0</v>
      </c>
      <c r="I218">
        <f>ROUND(TAN(RADIANS(CSV_Import!V216))*((Auswertung!$C$7/2)*100-Auswertung!$C$8),3)</f>
        <v>0</v>
      </c>
      <c r="K218">
        <f>(CSV_Import!$N$2-CSV_Import!N216)</f>
        <v>0</v>
      </c>
      <c r="L218">
        <f>(CSV_Import!$AE$2-CSV_Import!AE216)</f>
        <v>0</v>
      </c>
    </row>
    <row r="219" spans="2:12" x14ac:dyDescent="0.3">
      <c r="B219">
        <f>(CSV_Import!G217-CSV_Import!$G$2)/1000</f>
        <v>0</v>
      </c>
      <c r="D219">
        <f>ROUND(TAN(RADIANS(CSV_Import!D217))*((Auswertung!$C$7*100)/2-Auswertung!$C$8),3)</f>
        <v>0</v>
      </c>
      <c r="E219">
        <f>ROUND(TAN(RADIANS(CSV_Import!U217))*((Auswertung!$C$7/2)*100-Auswertung!$C$8),3)</f>
        <v>0</v>
      </c>
      <c r="F219">
        <f>ROUND(TAN(RADIANS(CSV_Import!B217))*((Auswertung!$C$7/2)*100-Auswertung!$C$8),3)</f>
        <v>0</v>
      </c>
      <c r="G219">
        <f>ROUND(TAN(RADIANS(CSV_Import!S217))*((Auswertung!$C$7/2)*100-Auswertung!$C$8),3)</f>
        <v>0</v>
      </c>
      <c r="H219">
        <f>ROUND(TAN(RADIANS(CSV_Import!E217))*((Auswertung!$C$7/2)*100-Auswertung!$C$8),3)</f>
        <v>0</v>
      </c>
      <c r="I219">
        <f>ROUND(TAN(RADIANS(CSV_Import!V217))*((Auswertung!$C$7/2)*100-Auswertung!$C$8),3)</f>
        <v>0</v>
      </c>
      <c r="K219">
        <f>(CSV_Import!$N$2-CSV_Import!N217)</f>
        <v>0</v>
      </c>
      <c r="L219">
        <f>(CSV_Import!$AE$2-CSV_Import!AE217)</f>
        <v>0</v>
      </c>
    </row>
    <row r="220" spans="2:12" x14ac:dyDescent="0.3">
      <c r="B220">
        <f>(CSV_Import!G218-CSV_Import!$G$2)/1000</f>
        <v>0</v>
      </c>
      <c r="D220">
        <f>ROUND(TAN(RADIANS(CSV_Import!D218))*((Auswertung!$C$7*100)/2-Auswertung!$C$8),3)</f>
        <v>0</v>
      </c>
      <c r="E220">
        <f>ROUND(TAN(RADIANS(CSV_Import!U218))*((Auswertung!$C$7/2)*100-Auswertung!$C$8),3)</f>
        <v>0</v>
      </c>
      <c r="F220">
        <f>ROUND(TAN(RADIANS(CSV_Import!B218))*((Auswertung!$C$7/2)*100-Auswertung!$C$8),3)</f>
        <v>0</v>
      </c>
      <c r="G220">
        <f>ROUND(TAN(RADIANS(CSV_Import!S218))*((Auswertung!$C$7/2)*100-Auswertung!$C$8),3)</f>
        <v>0</v>
      </c>
      <c r="H220">
        <f>ROUND(TAN(RADIANS(CSV_Import!E218))*((Auswertung!$C$7/2)*100-Auswertung!$C$8),3)</f>
        <v>0</v>
      </c>
      <c r="I220">
        <f>ROUND(TAN(RADIANS(CSV_Import!V218))*((Auswertung!$C$7/2)*100-Auswertung!$C$8),3)</f>
        <v>0</v>
      </c>
      <c r="K220">
        <f>(CSV_Import!$N$2-CSV_Import!N218)</f>
        <v>0</v>
      </c>
      <c r="L220">
        <f>(CSV_Import!$AE$2-CSV_Import!AE218)</f>
        <v>0</v>
      </c>
    </row>
    <row r="221" spans="2:12" x14ac:dyDescent="0.3">
      <c r="B221">
        <f>(CSV_Import!G219-CSV_Import!$G$2)/1000</f>
        <v>0</v>
      </c>
      <c r="D221">
        <f>ROUND(TAN(RADIANS(CSV_Import!D219))*((Auswertung!$C$7*100)/2-Auswertung!$C$8),3)</f>
        <v>0</v>
      </c>
      <c r="E221">
        <f>ROUND(TAN(RADIANS(CSV_Import!U219))*((Auswertung!$C$7/2)*100-Auswertung!$C$8),3)</f>
        <v>0</v>
      </c>
      <c r="F221">
        <f>ROUND(TAN(RADIANS(CSV_Import!B219))*((Auswertung!$C$7/2)*100-Auswertung!$C$8),3)</f>
        <v>0</v>
      </c>
      <c r="G221">
        <f>ROUND(TAN(RADIANS(CSV_Import!S219))*((Auswertung!$C$7/2)*100-Auswertung!$C$8),3)</f>
        <v>0</v>
      </c>
      <c r="H221">
        <f>ROUND(TAN(RADIANS(CSV_Import!E219))*((Auswertung!$C$7/2)*100-Auswertung!$C$8),3)</f>
        <v>0</v>
      </c>
      <c r="I221">
        <f>ROUND(TAN(RADIANS(CSV_Import!V219))*((Auswertung!$C$7/2)*100-Auswertung!$C$8),3)</f>
        <v>0</v>
      </c>
      <c r="K221">
        <f>(CSV_Import!$N$2-CSV_Import!N219)</f>
        <v>0</v>
      </c>
      <c r="L221">
        <f>(CSV_Import!$AE$2-CSV_Import!AE219)</f>
        <v>0</v>
      </c>
    </row>
    <row r="222" spans="2:12" x14ac:dyDescent="0.3">
      <c r="B222">
        <f>(CSV_Import!G220-CSV_Import!$G$2)/1000</f>
        <v>0</v>
      </c>
      <c r="D222">
        <f>ROUND(TAN(RADIANS(CSV_Import!D220))*((Auswertung!$C$7*100)/2-Auswertung!$C$8),3)</f>
        <v>0</v>
      </c>
      <c r="E222">
        <f>ROUND(TAN(RADIANS(CSV_Import!U220))*((Auswertung!$C$7/2)*100-Auswertung!$C$8),3)</f>
        <v>0</v>
      </c>
      <c r="F222">
        <f>ROUND(TAN(RADIANS(CSV_Import!B220))*((Auswertung!$C$7/2)*100-Auswertung!$C$8),3)</f>
        <v>0</v>
      </c>
      <c r="G222">
        <f>ROUND(TAN(RADIANS(CSV_Import!S220))*((Auswertung!$C$7/2)*100-Auswertung!$C$8),3)</f>
        <v>0</v>
      </c>
      <c r="H222">
        <f>ROUND(TAN(RADIANS(CSV_Import!E220))*((Auswertung!$C$7/2)*100-Auswertung!$C$8),3)</f>
        <v>0</v>
      </c>
      <c r="I222">
        <f>ROUND(TAN(RADIANS(CSV_Import!V220))*((Auswertung!$C$7/2)*100-Auswertung!$C$8),3)</f>
        <v>0</v>
      </c>
      <c r="K222">
        <f>(CSV_Import!$N$2-CSV_Import!N220)</f>
        <v>0</v>
      </c>
      <c r="L222">
        <f>(CSV_Import!$AE$2-CSV_Import!AE220)</f>
        <v>0</v>
      </c>
    </row>
    <row r="223" spans="2:12" x14ac:dyDescent="0.3">
      <c r="B223">
        <f>(CSV_Import!G221-CSV_Import!$G$2)/1000</f>
        <v>0</v>
      </c>
      <c r="D223">
        <f>ROUND(TAN(RADIANS(CSV_Import!D221))*((Auswertung!$C$7*100)/2-Auswertung!$C$8),3)</f>
        <v>0</v>
      </c>
      <c r="E223">
        <f>ROUND(TAN(RADIANS(CSV_Import!U221))*((Auswertung!$C$7/2)*100-Auswertung!$C$8),3)</f>
        <v>0</v>
      </c>
      <c r="F223">
        <f>ROUND(TAN(RADIANS(CSV_Import!B221))*((Auswertung!$C$7/2)*100-Auswertung!$C$8),3)</f>
        <v>0</v>
      </c>
      <c r="G223">
        <f>ROUND(TAN(RADIANS(CSV_Import!S221))*((Auswertung!$C$7/2)*100-Auswertung!$C$8),3)</f>
        <v>0</v>
      </c>
      <c r="H223">
        <f>ROUND(TAN(RADIANS(CSV_Import!E221))*((Auswertung!$C$7/2)*100-Auswertung!$C$8),3)</f>
        <v>0</v>
      </c>
      <c r="I223">
        <f>ROUND(TAN(RADIANS(CSV_Import!V221))*((Auswertung!$C$7/2)*100-Auswertung!$C$8),3)</f>
        <v>0</v>
      </c>
      <c r="K223">
        <f>(CSV_Import!$N$2-CSV_Import!N221)</f>
        <v>0</v>
      </c>
      <c r="L223">
        <f>(CSV_Import!$AE$2-CSV_Import!AE221)</f>
        <v>0</v>
      </c>
    </row>
    <row r="224" spans="2:12" x14ac:dyDescent="0.3">
      <c r="B224">
        <f>(CSV_Import!G222-CSV_Import!$G$2)/1000</f>
        <v>0</v>
      </c>
      <c r="D224">
        <f>ROUND(TAN(RADIANS(CSV_Import!D222))*((Auswertung!$C$7*100)/2-Auswertung!$C$8),3)</f>
        <v>0</v>
      </c>
      <c r="E224">
        <f>ROUND(TAN(RADIANS(CSV_Import!U222))*((Auswertung!$C$7/2)*100-Auswertung!$C$8),3)</f>
        <v>0</v>
      </c>
      <c r="F224">
        <f>ROUND(TAN(RADIANS(CSV_Import!B222))*((Auswertung!$C$7/2)*100-Auswertung!$C$8),3)</f>
        <v>0</v>
      </c>
      <c r="G224">
        <f>ROUND(TAN(RADIANS(CSV_Import!S222))*((Auswertung!$C$7/2)*100-Auswertung!$C$8),3)</f>
        <v>0</v>
      </c>
      <c r="H224">
        <f>ROUND(TAN(RADIANS(CSV_Import!E222))*((Auswertung!$C$7/2)*100-Auswertung!$C$8),3)</f>
        <v>0</v>
      </c>
      <c r="I224">
        <f>ROUND(TAN(RADIANS(CSV_Import!V222))*((Auswertung!$C$7/2)*100-Auswertung!$C$8),3)</f>
        <v>0</v>
      </c>
      <c r="K224">
        <f>(CSV_Import!$N$2-CSV_Import!N222)</f>
        <v>0</v>
      </c>
      <c r="L224">
        <f>(CSV_Import!$AE$2-CSV_Import!AE222)</f>
        <v>0</v>
      </c>
    </row>
    <row r="225" spans="2:12" x14ac:dyDescent="0.3">
      <c r="B225">
        <f>(CSV_Import!G223-CSV_Import!$G$2)/1000</f>
        <v>0</v>
      </c>
      <c r="D225">
        <f>ROUND(TAN(RADIANS(CSV_Import!D223))*((Auswertung!$C$7*100)/2-Auswertung!$C$8),3)</f>
        <v>0</v>
      </c>
      <c r="E225">
        <f>ROUND(TAN(RADIANS(CSV_Import!U223))*((Auswertung!$C$7/2)*100-Auswertung!$C$8),3)</f>
        <v>0</v>
      </c>
      <c r="F225">
        <f>ROUND(TAN(RADIANS(CSV_Import!B223))*((Auswertung!$C$7/2)*100-Auswertung!$C$8),3)</f>
        <v>0</v>
      </c>
      <c r="G225">
        <f>ROUND(TAN(RADIANS(CSV_Import!S223))*((Auswertung!$C$7/2)*100-Auswertung!$C$8),3)</f>
        <v>0</v>
      </c>
      <c r="H225">
        <f>ROUND(TAN(RADIANS(CSV_Import!E223))*((Auswertung!$C$7/2)*100-Auswertung!$C$8),3)</f>
        <v>0</v>
      </c>
      <c r="I225">
        <f>ROUND(TAN(RADIANS(CSV_Import!V223))*((Auswertung!$C$7/2)*100-Auswertung!$C$8),3)</f>
        <v>0</v>
      </c>
      <c r="K225">
        <f>(CSV_Import!$N$2-CSV_Import!N223)</f>
        <v>0</v>
      </c>
      <c r="L225">
        <f>(CSV_Import!$AE$2-CSV_Import!AE223)</f>
        <v>0</v>
      </c>
    </row>
    <row r="226" spans="2:12" x14ac:dyDescent="0.3">
      <c r="B226">
        <f>(CSV_Import!G224-CSV_Import!$G$2)/1000</f>
        <v>0</v>
      </c>
      <c r="D226">
        <f>ROUND(TAN(RADIANS(CSV_Import!D224))*((Auswertung!$C$7*100)/2-Auswertung!$C$8),3)</f>
        <v>0</v>
      </c>
      <c r="E226">
        <f>ROUND(TAN(RADIANS(CSV_Import!U224))*((Auswertung!$C$7/2)*100-Auswertung!$C$8),3)</f>
        <v>0</v>
      </c>
      <c r="F226">
        <f>ROUND(TAN(RADIANS(CSV_Import!B224))*((Auswertung!$C$7/2)*100-Auswertung!$C$8),3)</f>
        <v>0</v>
      </c>
      <c r="G226">
        <f>ROUND(TAN(RADIANS(CSV_Import!S224))*((Auswertung!$C$7/2)*100-Auswertung!$C$8),3)</f>
        <v>0</v>
      </c>
      <c r="H226">
        <f>ROUND(TAN(RADIANS(CSV_Import!E224))*((Auswertung!$C$7/2)*100-Auswertung!$C$8),3)</f>
        <v>0</v>
      </c>
      <c r="I226">
        <f>ROUND(TAN(RADIANS(CSV_Import!V224))*((Auswertung!$C$7/2)*100-Auswertung!$C$8),3)</f>
        <v>0</v>
      </c>
      <c r="K226">
        <f>(CSV_Import!$N$2-CSV_Import!N224)</f>
        <v>0</v>
      </c>
      <c r="L226">
        <f>(CSV_Import!$AE$2-CSV_Import!AE224)</f>
        <v>0</v>
      </c>
    </row>
    <row r="227" spans="2:12" x14ac:dyDescent="0.3">
      <c r="B227">
        <f>(CSV_Import!G225-CSV_Import!$G$2)/1000</f>
        <v>0</v>
      </c>
      <c r="D227">
        <f>ROUND(TAN(RADIANS(CSV_Import!D225))*((Auswertung!$C$7*100)/2-Auswertung!$C$8),3)</f>
        <v>0</v>
      </c>
      <c r="E227">
        <f>ROUND(TAN(RADIANS(CSV_Import!U225))*((Auswertung!$C$7/2)*100-Auswertung!$C$8),3)</f>
        <v>0</v>
      </c>
      <c r="F227">
        <f>ROUND(TAN(RADIANS(CSV_Import!B225))*((Auswertung!$C$7/2)*100-Auswertung!$C$8),3)</f>
        <v>0</v>
      </c>
      <c r="G227">
        <f>ROUND(TAN(RADIANS(CSV_Import!S225))*((Auswertung!$C$7/2)*100-Auswertung!$C$8),3)</f>
        <v>0</v>
      </c>
      <c r="H227">
        <f>ROUND(TAN(RADIANS(CSV_Import!E225))*((Auswertung!$C$7/2)*100-Auswertung!$C$8),3)</f>
        <v>0</v>
      </c>
      <c r="I227">
        <f>ROUND(TAN(RADIANS(CSV_Import!V225))*((Auswertung!$C$7/2)*100-Auswertung!$C$8),3)</f>
        <v>0</v>
      </c>
      <c r="K227">
        <f>(CSV_Import!$N$2-CSV_Import!N225)</f>
        <v>0</v>
      </c>
      <c r="L227">
        <f>(CSV_Import!$AE$2-CSV_Import!AE225)</f>
        <v>0</v>
      </c>
    </row>
    <row r="228" spans="2:12" x14ac:dyDescent="0.3">
      <c r="B228">
        <f>(CSV_Import!G226-CSV_Import!$G$2)/1000</f>
        <v>0</v>
      </c>
      <c r="D228">
        <f>ROUND(TAN(RADIANS(CSV_Import!D226))*((Auswertung!$C$7*100)/2-Auswertung!$C$8),3)</f>
        <v>0</v>
      </c>
      <c r="E228">
        <f>ROUND(TAN(RADIANS(CSV_Import!U226))*((Auswertung!$C$7/2)*100-Auswertung!$C$8),3)</f>
        <v>0</v>
      </c>
      <c r="F228">
        <f>ROUND(TAN(RADIANS(CSV_Import!B226))*((Auswertung!$C$7/2)*100-Auswertung!$C$8),3)</f>
        <v>0</v>
      </c>
      <c r="G228">
        <f>ROUND(TAN(RADIANS(CSV_Import!S226))*((Auswertung!$C$7/2)*100-Auswertung!$C$8),3)</f>
        <v>0</v>
      </c>
      <c r="H228">
        <f>ROUND(TAN(RADIANS(CSV_Import!E226))*((Auswertung!$C$7/2)*100-Auswertung!$C$8),3)</f>
        <v>0</v>
      </c>
      <c r="I228">
        <f>ROUND(TAN(RADIANS(CSV_Import!V226))*((Auswertung!$C$7/2)*100-Auswertung!$C$8),3)</f>
        <v>0</v>
      </c>
      <c r="K228">
        <f>(CSV_Import!$N$2-CSV_Import!N226)</f>
        <v>0</v>
      </c>
      <c r="L228">
        <f>(CSV_Import!$AE$2-CSV_Import!AE226)</f>
        <v>0</v>
      </c>
    </row>
    <row r="229" spans="2:12" x14ac:dyDescent="0.3">
      <c r="B229">
        <f>(CSV_Import!G227-CSV_Import!$G$2)/1000</f>
        <v>0</v>
      </c>
      <c r="D229">
        <f>ROUND(TAN(RADIANS(CSV_Import!D227))*((Auswertung!$C$7*100)/2-Auswertung!$C$8),3)</f>
        <v>0</v>
      </c>
      <c r="E229">
        <f>ROUND(TAN(RADIANS(CSV_Import!U227))*((Auswertung!$C$7/2)*100-Auswertung!$C$8),3)</f>
        <v>0</v>
      </c>
      <c r="F229">
        <f>ROUND(TAN(RADIANS(CSV_Import!B227))*((Auswertung!$C$7/2)*100-Auswertung!$C$8),3)</f>
        <v>0</v>
      </c>
      <c r="G229">
        <f>ROUND(TAN(RADIANS(CSV_Import!S227))*((Auswertung!$C$7/2)*100-Auswertung!$C$8),3)</f>
        <v>0</v>
      </c>
      <c r="H229">
        <f>ROUND(TAN(RADIANS(CSV_Import!E227))*((Auswertung!$C$7/2)*100-Auswertung!$C$8),3)</f>
        <v>0</v>
      </c>
      <c r="I229">
        <f>ROUND(TAN(RADIANS(CSV_Import!V227))*((Auswertung!$C$7/2)*100-Auswertung!$C$8),3)</f>
        <v>0</v>
      </c>
      <c r="K229">
        <f>(CSV_Import!$N$2-CSV_Import!N227)</f>
        <v>0</v>
      </c>
      <c r="L229">
        <f>(CSV_Import!$AE$2-CSV_Import!AE227)</f>
        <v>0</v>
      </c>
    </row>
    <row r="230" spans="2:12" x14ac:dyDescent="0.3">
      <c r="B230">
        <f>(CSV_Import!G228-CSV_Import!$G$2)/1000</f>
        <v>0</v>
      </c>
      <c r="D230">
        <f>ROUND(TAN(RADIANS(CSV_Import!D228))*((Auswertung!$C$7*100)/2-Auswertung!$C$8),3)</f>
        <v>0</v>
      </c>
      <c r="E230">
        <f>ROUND(TAN(RADIANS(CSV_Import!U228))*((Auswertung!$C$7/2)*100-Auswertung!$C$8),3)</f>
        <v>0</v>
      </c>
      <c r="F230">
        <f>ROUND(TAN(RADIANS(CSV_Import!B228))*((Auswertung!$C$7/2)*100-Auswertung!$C$8),3)</f>
        <v>0</v>
      </c>
      <c r="G230">
        <f>ROUND(TAN(RADIANS(CSV_Import!S228))*((Auswertung!$C$7/2)*100-Auswertung!$C$8),3)</f>
        <v>0</v>
      </c>
      <c r="H230">
        <f>ROUND(TAN(RADIANS(CSV_Import!E228))*((Auswertung!$C$7/2)*100-Auswertung!$C$8),3)</f>
        <v>0</v>
      </c>
      <c r="I230">
        <f>ROUND(TAN(RADIANS(CSV_Import!V228))*((Auswertung!$C$7/2)*100-Auswertung!$C$8),3)</f>
        <v>0</v>
      </c>
      <c r="K230">
        <f>(CSV_Import!$N$2-CSV_Import!N228)</f>
        <v>0</v>
      </c>
      <c r="L230">
        <f>(CSV_Import!$AE$2-CSV_Import!AE228)</f>
        <v>0</v>
      </c>
    </row>
    <row r="231" spans="2:12" x14ac:dyDescent="0.3">
      <c r="B231">
        <f>(CSV_Import!G229-CSV_Import!$G$2)/1000</f>
        <v>0</v>
      </c>
      <c r="D231">
        <f>ROUND(TAN(RADIANS(CSV_Import!D229))*((Auswertung!$C$7*100)/2-Auswertung!$C$8),3)</f>
        <v>0</v>
      </c>
      <c r="E231">
        <f>ROUND(TAN(RADIANS(CSV_Import!U229))*((Auswertung!$C$7/2)*100-Auswertung!$C$8),3)</f>
        <v>0</v>
      </c>
      <c r="F231">
        <f>ROUND(TAN(RADIANS(CSV_Import!B229))*((Auswertung!$C$7/2)*100-Auswertung!$C$8),3)</f>
        <v>0</v>
      </c>
      <c r="G231">
        <f>ROUND(TAN(RADIANS(CSV_Import!S229))*((Auswertung!$C$7/2)*100-Auswertung!$C$8),3)</f>
        <v>0</v>
      </c>
      <c r="H231">
        <f>ROUND(TAN(RADIANS(CSV_Import!E229))*((Auswertung!$C$7/2)*100-Auswertung!$C$8),3)</f>
        <v>0</v>
      </c>
      <c r="I231">
        <f>ROUND(TAN(RADIANS(CSV_Import!V229))*((Auswertung!$C$7/2)*100-Auswertung!$C$8),3)</f>
        <v>0</v>
      </c>
      <c r="K231">
        <f>(CSV_Import!$N$2-CSV_Import!N229)</f>
        <v>0</v>
      </c>
      <c r="L231">
        <f>(CSV_Import!$AE$2-CSV_Import!AE229)</f>
        <v>0</v>
      </c>
    </row>
    <row r="232" spans="2:12" x14ac:dyDescent="0.3">
      <c r="B232">
        <f>(CSV_Import!G230-CSV_Import!$G$2)/1000</f>
        <v>0</v>
      </c>
      <c r="D232">
        <f>ROUND(TAN(RADIANS(CSV_Import!D230))*((Auswertung!$C$7*100)/2-Auswertung!$C$8),3)</f>
        <v>0</v>
      </c>
      <c r="E232">
        <f>ROUND(TAN(RADIANS(CSV_Import!U230))*((Auswertung!$C$7/2)*100-Auswertung!$C$8),3)</f>
        <v>0</v>
      </c>
      <c r="F232">
        <f>ROUND(TAN(RADIANS(CSV_Import!B230))*((Auswertung!$C$7/2)*100-Auswertung!$C$8),3)</f>
        <v>0</v>
      </c>
      <c r="G232">
        <f>ROUND(TAN(RADIANS(CSV_Import!S230))*((Auswertung!$C$7/2)*100-Auswertung!$C$8),3)</f>
        <v>0</v>
      </c>
      <c r="H232">
        <f>ROUND(TAN(RADIANS(CSV_Import!E230))*((Auswertung!$C$7/2)*100-Auswertung!$C$8),3)</f>
        <v>0</v>
      </c>
      <c r="I232">
        <f>ROUND(TAN(RADIANS(CSV_Import!V230))*((Auswertung!$C$7/2)*100-Auswertung!$C$8),3)</f>
        <v>0</v>
      </c>
      <c r="K232">
        <f>(CSV_Import!$N$2-CSV_Import!N230)</f>
        <v>0</v>
      </c>
      <c r="L232">
        <f>(CSV_Import!$AE$2-CSV_Import!AE230)</f>
        <v>0</v>
      </c>
    </row>
    <row r="233" spans="2:12" x14ac:dyDescent="0.3">
      <c r="B233">
        <f>(CSV_Import!G231-CSV_Import!$G$2)/1000</f>
        <v>0</v>
      </c>
      <c r="D233">
        <f>ROUND(TAN(RADIANS(CSV_Import!D231))*((Auswertung!$C$7*100)/2-Auswertung!$C$8),3)</f>
        <v>0</v>
      </c>
      <c r="E233">
        <f>ROUND(TAN(RADIANS(CSV_Import!U231))*((Auswertung!$C$7/2)*100-Auswertung!$C$8),3)</f>
        <v>0</v>
      </c>
      <c r="F233">
        <f>ROUND(TAN(RADIANS(CSV_Import!B231))*((Auswertung!$C$7/2)*100-Auswertung!$C$8),3)</f>
        <v>0</v>
      </c>
      <c r="G233">
        <f>ROUND(TAN(RADIANS(CSV_Import!S231))*((Auswertung!$C$7/2)*100-Auswertung!$C$8),3)</f>
        <v>0</v>
      </c>
      <c r="H233">
        <f>ROUND(TAN(RADIANS(CSV_Import!E231))*((Auswertung!$C$7/2)*100-Auswertung!$C$8),3)</f>
        <v>0</v>
      </c>
      <c r="I233">
        <f>ROUND(TAN(RADIANS(CSV_Import!V231))*((Auswertung!$C$7/2)*100-Auswertung!$C$8),3)</f>
        <v>0</v>
      </c>
      <c r="K233">
        <f>(CSV_Import!$N$2-CSV_Import!N231)</f>
        <v>0</v>
      </c>
      <c r="L233">
        <f>(CSV_Import!$AE$2-CSV_Import!AE231)</f>
        <v>0</v>
      </c>
    </row>
    <row r="234" spans="2:12" x14ac:dyDescent="0.3">
      <c r="B234">
        <f>(CSV_Import!G232-CSV_Import!$G$2)/1000</f>
        <v>0</v>
      </c>
      <c r="D234">
        <f>ROUND(TAN(RADIANS(CSV_Import!D232))*((Auswertung!$C$7*100)/2-Auswertung!$C$8),3)</f>
        <v>0</v>
      </c>
      <c r="E234">
        <f>ROUND(TAN(RADIANS(CSV_Import!U232))*((Auswertung!$C$7/2)*100-Auswertung!$C$8),3)</f>
        <v>0</v>
      </c>
      <c r="F234">
        <f>ROUND(TAN(RADIANS(CSV_Import!B232))*((Auswertung!$C$7/2)*100-Auswertung!$C$8),3)</f>
        <v>0</v>
      </c>
      <c r="G234">
        <f>ROUND(TAN(RADIANS(CSV_Import!S232))*((Auswertung!$C$7/2)*100-Auswertung!$C$8),3)</f>
        <v>0</v>
      </c>
      <c r="H234">
        <f>ROUND(TAN(RADIANS(CSV_Import!E232))*((Auswertung!$C$7/2)*100-Auswertung!$C$8),3)</f>
        <v>0</v>
      </c>
      <c r="I234">
        <f>ROUND(TAN(RADIANS(CSV_Import!V232))*((Auswertung!$C$7/2)*100-Auswertung!$C$8),3)</f>
        <v>0</v>
      </c>
      <c r="K234">
        <f>(CSV_Import!$N$2-CSV_Import!N232)</f>
        <v>0</v>
      </c>
      <c r="L234">
        <f>(CSV_Import!$AE$2-CSV_Import!AE232)</f>
        <v>0</v>
      </c>
    </row>
    <row r="235" spans="2:12" x14ac:dyDescent="0.3">
      <c r="B235">
        <f>(CSV_Import!G233-CSV_Import!$G$2)/1000</f>
        <v>0</v>
      </c>
      <c r="D235">
        <f>ROUND(TAN(RADIANS(CSV_Import!D233))*((Auswertung!$C$7*100)/2-Auswertung!$C$8),3)</f>
        <v>0</v>
      </c>
      <c r="E235">
        <f>ROUND(TAN(RADIANS(CSV_Import!U233))*((Auswertung!$C$7/2)*100-Auswertung!$C$8),3)</f>
        <v>0</v>
      </c>
      <c r="F235">
        <f>ROUND(TAN(RADIANS(CSV_Import!B233))*((Auswertung!$C$7/2)*100-Auswertung!$C$8),3)</f>
        <v>0</v>
      </c>
      <c r="G235">
        <f>ROUND(TAN(RADIANS(CSV_Import!S233))*((Auswertung!$C$7/2)*100-Auswertung!$C$8),3)</f>
        <v>0</v>
      </c>
      <c r="H235">
        <f>ROUND(TAN(RADIANS(CSV_Import!E233))*((Auswertung!$C$7/2)*100-Auswertung!$C$8),3)</f>
        <v>0</v>
      </c>
      <c r="I235">
        <f>ROUND(TAN(RADIANS(CSV_Import!V233))*((Auswertung!$C$7/2)*100-Auswertung!$C$8),3)</f>
        <v>0</v>
      </c>
      <c r="K235">
        <f>(CSV_Import!$N$2-CSV_Import!N233)</f>
        <v>0</v>
      </c>
      <c r="L235">
        <f>(CSV_Import!$AE$2-CSV_Import!AE233)</f>
        <v>0</v>
      </c>
    </row>
    <row r="236" spans="2:12" x14ac:dyDescent="0.3">
      <c r="B236">
        <f>(CSV_Import!G234-CSV_Import!$G$2)/1000</f>
        <v>0</v>
      </c>
      <c r="D236">
        <f>ROUND(TAN(RADIANS(CSV_Import!D234))*((Auswertung!$C$7*100)/2-Auswertung!$C$8),3)</f>
        <v>0</v>
      </c>
      <c r="E236">
        <f>ROUND(TAN(RADIANS(CSV_Import!U234))*((Auswertung!$C$7/2)*100-Auswertung!$C$8),3)</f>
        <v>0</v>
      </c>
      <c r="F236">
        <f>ROUND(TAN(RADIANS(CSV_Import!B234))*((Auswertung!$C$7/2)*100-Auswertung!$C$8),3)</f>
        <v>0</v>
      </c>
      <c r="G236">
        <f>ROUND(TAN(RADIANS(CSV_Import!S234))*((Auswertung!$C$7/2)*100-Auswertung!$C$8),3)</f>
        <v>0</v>
      </c>
      <c r="H236">
        <f>ROUND(TAN(RADIANS(CSV_Import!E234))*((Auswertung!$C$7/2)*100-Auswertung!$C$8),3)</f>
        <v>0</v>
      </c>
      <c r="I236">
        <f>ROUND(TAN(RADIANS(CSV_Import!V234))*((Auswertung!$C$7/2)*100-Auswertung!$C$8),3)</f>
        <v>0</v>
      </c>
      <c r="K236">
        <f>(CSV_Import!$N$2-CSV_Import!N234)</f>
        <v>0</v>
      </c>
      <c r="L236">
        <f>(CSV_Import!$AE$2-CSV_Import!AE234)</f>
        <v>0</v>
      </c>
    </row>
    <row r="237" spans="2:12" x14ac:dyDescent="0.3">
      <c r="B237">
        <f>(CSV_Import!G235-CSV_Import!$G$2)/1000</f>
        <v>0</v>
      </c>
      <c r="D237">
        <f>ROUND(TAN(RADIANS(CSV_Import!D235))*((Auswertung!$C$7*100)/2-Auswertung!$C$8),3)</f>
        <v>0</v>
      </c>
      <c r="E237">
        <f>ROUND(TAN(RADIANS(CSV_Import!U235))*((Auswertung!$C$7/2)*100-Auswertung!$C$8),3)</f>
        <v>0</v>
      </c>
      <c r="F237">
        <f>ROUND(TAN(RADIANS(CSV_Import!B235))*((Auswertung!$C$7/2)*100-Auswertung!$C$8),3)</f>
        <v>0</v>
      </c>
      <c r="G237">
        <f>ROUND(TAN(RADIANS(CSV_Import!S235))*((Auswertung!$C$7/2)*100-Auswertung!$C$8),3)</f>
        <v>0</v>
      </c>
      <c r="H237">
        <f>ROUND(TAN(RADIANS(CSV_Import!E235))*((Auswertung!$C$7/2)*100-Auswertung!$C$8),3)</f>
        <v>0</v>
      </c>
      <c r="I237">
        <f>ROUND(TAN(RADIANS(CSV_Import!V235))*((Auswertung!$C$7/2)*100-Auswertung!$C$8),3)</f>
        <v>0</v>
      </c>
      <c r="K237">
        <f>(CSV_Import!$N$2-CSV_Import!N235)</f>
        <v>0</v>
      </c>
      <c r="L237">
        <f>(CSV_Import!$AE$2-CSV_Import!AE235)</f>
        <v>0</v>
      </c>
    </row>
    <row r="238" spans="2:12" x14ac:dyDescent="0.3">
      <c r="B238">
        <f>(CSV_Import!G236-CSV_Import!$G$2)/1000</f>
        <v>0</v>
      </c>
      <c r="D238">
        <f>ROUND(TAN(RADIANS(CSV_Import!D236))*((Auswertung!$C$7*100)/2-Auswertung!$C$8),3)</f>
        <v>0</v>
      </c>
      <c r="E238">
        <f>ROUND(TAN(RADIANS(CSV_Import!U236))*((Auswertung!$C$7/2)*100-Auswertung!$C$8),3)</f>
        <v>0</v>
      </c>
      <c r="F238">
        <f>ROUND(TAN(RADIANS(CSV_Import!B236))*((Auswertung!$C$7/2)*100-Auswertung!$C$8),3)</f>
        <v>0</v>
      </c>
      <c r="G238">
        <f>ROUND(TAN(RADIANS(CSV_Import!S236))*((Auswertung!$C$7/2)*100-Auswertung!$C$8),3)</f>
        <v>0</v>
      </c>
      <c r="H238">
        <f>ROUND(TAN(RADIANS(CSV_Import!E236))*((Auswertung!$C$7/2)*100-Auswertung!$C$8),3)</f>
        <v>0</v>
      </c>
      <c r="I238">
        <f>ROUND(TAN(RADIANS(CSV_Import!V236))*((Auswertung!$C$7/2)*100-Auswertung!$C$8),3)</f>
        <v>0</v>
      </c>
      <c r="K238">
        <f>(CSV_Import!$N$2-CSV_Import!N236)</f>
        <v>0</v>
      </c>
      <c r="L238">
        <f>(CSV_Import!$AE$2-CSV_Import!AE236)</f>
        <v>0</v>
      </c>
    </row>
    <row r="239" spans="2:12" x14ac:dyDescent="0.3">
      <c r="B239">
        <f>(CSV_Import!G237-CSV_Import!$G$2)/1000</f>
        <v>0</v>
      </c>
      <c r="D239">
        <f>ROUND(TAN(RADIANS(CSV_Import!D237))*((Auswertung!$C$7*100)/2-Auswertung!$C$8),3)</f>
        <v>0</v>
      </c>
      <c r="E239">
        <f>ROUND(TAN(RADIANS(CSV_Import!U237))*((Auswertung!$C$7/2)*100-Auswertung!$C$8),3)</f>
        <v>0</v>
      </c>
      <c r="F239">
        <f>ROUND(TAN(RADIANS(CSV_Import!B237))*((Auswertung!$C$7/2)*100-Auswertung!$C$8),3)</f>
        <v>0</v>
      </c>
      <c r="G239">
        <f>ROUND(TAN(RADIANS(CSV_Import!S237))*((Auswertung!$C$7/2)*100-Auswertung!$C$8),3)</f>
        <v>0</v>
      </c>
      <c r="H239">
        <f>ROUND(TAN(RADIANS(CSV_Import!E237))*((Auswertung!$C$7/2)*100-Auswertung!$C$8),3)</f>
        <v>0</v>
      </c>
      <c r="I239">
        <f>ROUND(TAN(RADIANS(CSV_Import!V237))*((Auswertung!$C$7/2)*100-Auswertung!$C$8),3)</f>
        <v>0</v>
      </c>
      <c r="K239">
        <f>(CSV_Import!$N$2-CSV_Import!N237)</f>
        <v>0</v>
      </c>
      <c r="L239">
        <f>(CSV_Import!$AE$2-CSV_Import!AE237)</f>
        <v>0</v>
      </c>
    </row>
    <row r="240" spans="2:12" x14ac:dyDescent="0.3">
      <c r="B240">
        <f>(CSV_Import!G238-CSV_Import!$G$2)/1000</f>
        <v>0</v>
      </c>
      <c r="D240">
        <f>ROUND(TAN(RADIANS(CSV_Import!D238))*((Auswertung!$C$7*100)/2-Auswertung!$C$8),3)</f>
        <v>0</v>
      </c>
      <c r="E240">
        <f>ROUND(TAN(RADIANS(CSV_Import!U238))*((Auswertung!$C$7/2)*100-Auswertung!$C$8),3)</f>
        <v>0</v>
      </c>
      <c r="F240">
        <f>ROUND(TAN(RADIANS(CSV_Import!B238))*((Auswertung!$C$7/2)*100-Auswertung!$C$8),3)</f>
        <v>0</v>
      </c>
      <c r="G240">
        <f>ROUND(TAN(RADIANS(CSV_Import!S238))*((Auswertung!$C$7/2)*100-Auswertung!$C$8),3)</f>
        <v>0</v>
      </c>
      <c r="H240">
        <f>ROUND(TAN(RADIANS(CSV_Import!E238))*((Auswertung!$C$7/2)*100-Auswertung!$C$8),3)</f>
        <v>0</v>
      </c>
      <c r="I240">
        <f>ROUND(TAN(RADIANS(CSV_Import!V238))*((Auswertung!$C$7/2)*100-Auswertung!$C$8),3)</f>
        <v>0</v>
      </c>
      <c r="K240">
        <f>(CSV_Import!$N$2-CSV_Import!N238)</f>
        <v>0</v>
      </c>
      <c r="L240">
        <f>(CSV_Import!$AE$2-CSV_Import!AE238)</f>
        <v>0</v>
      </c>
    </row>
    <row r="241" spans="2:12" x14ac:dyDescent="0.3">
      <c r="B241">
        <f>(CSV_Import!G239-CSV_Import!$G$2)/1000</f>
        <v>0</v>
      </c>
      <c r="D241">
        <f>ROUND(TAN(RADIANS(CSV_Import!D239))*((Auswertung!$C$7*100)/2-Auswertung!$C$8),3)</f>
        <v>0</v>
      </c>
      <c r="E241">
        <f>ROUND(TAN(RADIANS(CSV_Import!U239))*((Auswertung!$C$7/2)*100-Auswertung!$C$8),3)</f>
        <v>0</v>
      </c>
      <c r="F241">
        <f>ROUND(TAN(RADIANS(CSV_Import!B239))*((Auswertung!$C$7/2)*100-Auswertung!$C$8),3)</f>
        <v>0</v>
      </c>
      <c r="G241">
        <f>ROUND(TAN(RADIANS(CSV_Import!S239))*((Auswertung!$C$7/2)*100-Auswertung!$C$8),3)</f>
        <v>0</v>
      </c>
      <c r="H241">
        <f>ROUND(TAN(RADIANS(CSV_Import!E239))*((Auswertung!$C$7/2)*100-Auswertung!$C$8),3)</f>
        <v>0</v>
      </c>
      <c r="I241">
        <f>ROUND(TAN(RADIANS(CSV_Import!V239))*((Auswertung!$C$7/2)*100-Auswertung!$C$8),3)</f>
        <v>0</v>
      </c>
      <c r="K241">
        <f>(CSV_Import!$N$2-CSV_Import!N239)</f>
        <v>0</v>
      </c>
      <c r="L241">
        <f>(CSV_Import!$AE$2-CSV_Import!AE239)</f>
        <v>0</v>
      </c>
    </row>
    <row r="242" spans="2:12" x14ac:dyDescent="0.3">
      <c r="B242">
        <f>(CSV_Import!G240-CSV_Import!$G$2)/1000</f>
        <v>0</v>
      </c>
      <c r="D242">
        <f>ROUND(TAN(RADIANS(CSV_Import!D240))*((Auswertung!$C$7*100)/2-Auswertung!$C$8),3)</f>
        <v>0</v>
      </c>
      <c r="E242">
        <f>ROUND(TAN(RADIANS(CSV_Import!U240))*((Auswertung!$C$7/2)*100-Auswertung!$C$8),3)</f>
        <v>0</v>
      </c>
      <c r="F242">
        <f>ROUND(TAN(RADIANS(CSV_Import!B240))*((Auswertung!$C$7/2)*100-Auswertung!$C$8),3)</f>
        <v>0</v>
      </c>
      <c r="G242">
        <f>ROUND(TAN(RADIANS(CSV_Import!S240))*((Auswertung!$C$7/2)*100-Auswertung!$C$8),3)</f>
        <v>0</v>
      </c>
      <c r="H242">
        <f>ROUND(TAN(RADIANS(CSV_Import!E240))*((Auswertung!$C$7/2)*100-Auswertung!$C$8),3)</f>
        <v>0</v>
      </c>
      <c r="I242">
        <f>ROUND(TAN(RADIANS(CSV_Import!V240))*((Auswertung!$C$7/2)*100-Auswertung!$C$8),3)</f>
        <v>0</v>
      </c>
      <c r="K242">
        <f>(CSV_Import!$N$2-CSV_Import!N240)</f>
        <v>0</v>
      </c>
      <c r="L242">
        <f>(CSV_Import!$AE$2-CSV_Import!AE240)</f>
        <v>0</v>
      </c>
    </row>
    <row r="243" spans="2:12" x14ac:dyDescent="0.3">
      <c r="B243">
        <f>(CSV_Import!G241-CSV_Import!$G$2)/1000</f>
        <v>0</v>
      </c>
      <c r="D243">
        <f>ROUND(TAN(RADIANS(CSV_Import!D241))*((Auswertung!$C$7*100)/2-Auswertung!$C$8),3)</f>
        <v>0</v>
      </c>
      <c r="E243">
        <f>ROUND(TAN(RADIANS(CSV_Import!U241))*((Auswertung!$C$7/2)*100-Auswertung!$C$8),3)</f>
        <v>0</v>
      </c>
      <c r="F243">
        <f>ROUND(TAN(RADIANS(CSV_Import!B241))*((Auswertung!$C$7/2)*100-Auswertung!$C$8),3)</f>
        <v>0</v>
      </c>
      <c r="G243">
        <f>ROUND(TAN(RADIANS(CSV_Import!S241))*((Auswertung!$C$7/2)*100-Auswertung!$C$8),3)</f>
        <v>0</v>
      </c>
      <c r="H243">
        <f>ROUND(TAN(RADIANS(CSV_Import!E241))*((Auswertung!$C$7/2)*100-Auswertung!$C$8),3)</f>
        <v>0</v>
      </c>
      <c r="I243">
        <f>ROUND(TAN(RADIANS(CSV_Import!V241))*((Auswertung!$C$7/2)*100-Auswertung!$C$8),3)</f>
        <v>0</v>
      </c>
      <c r="K243">
        <f>(CSV_Import!$N$2-CSV_Import!N241)</f>
        <v>0</v>
      </c>
      <c r="L243">
        <f>(CSV_Import!$AE$2-CSV_Import!AE241)</f>
        <v>0</v>
      </c>
    </row>
    <row r="244" spans="2:12" x14ac:dyDescent="0.3">
      <c r="B244">
        <f>(CSV_Import!G242-CSV_Import!$G$2)/1000</f>
        <v>0</v>
      </c>
      <c r="D244">
        <f>ROUND(TAN(RADIANS(CSV_Import!D242))*((Auswertung!$C$7*100)/2-Auswertung!$C$8),3)</f>
        <v>0</v>
      </c>
      <c r="E244">
        <f>ROUND(TAN(RADIANS(CSV_Import!U242))*((Auswertung!$C$7/2)*100-Auswertung!$C$8),3)</f>
        <v>0</v>
      </c>
      <c r="F244">
        <f>ROUND(TAN(RADIANS(CSV_Import!B242))*((Auswertung!$C$7/2)*100-Auswertung!$C$8),3)</f>
        <v>0</v>
      </c>
      <c r="G244">
        <f>ROUND(TAN(RADIANS(CSV_Import!S242))*((Auswertung!$C$7/2)*100-Auswertung!$C$8),3)</f>
        <v>0</v>
      </c>
      <c r="H244">
        <f>ROUND(TAN(RADIANS(CSV_Import!E242))*((Auswertung!$C$7/2)*100-Auswertung!$C$8),3)</f>
        <v>0</v>
      </c>
      <c r="I244">
        <f>ROUND(TAN(RADIANS(CSV_Import!V242))*((Auswertung!$C$7/2)*100-Auswertung!$C$8),3)</f>
        <v>0</v>
      </c>
      <c r="K244">
        <f>(CSV_Import!$N$2-CSV_Import!N242)</f>
        <v>0</v>
      </c>
      <c r="L244">
        <f>(CSV_Import!$AE$2-CSV_Import!AE242)</f>
        <v>0</v>
      </c>
    </row>
    <row r="245" spans="2:12" x14ac:dyDescent="0.3">
      <c r="B245">
        <f>(CSV_Import!G243-CSV_Import!$G$2)/1000</f>
        <v>0</v>
      </c>
      <c r="D245">
        <f>ROUND(TAN(RADIANS(CSV_Import!D243))*((Auswertung!$C$7*100)/2-Auswertung!$C$8),3)</f>
        <v>0</v>
      </c>
      <c r="E245">
        <f>ROUND(TAN(RADIANS(CSV_Import!U243))*((Auswertung!$C$7/2)*100-Auswertung!$C$8),3)</f>
        <v>0</v>
      </c>
      <c r="F245">
        <f>ROUND(TAN(RADIANS(CSV_Import!B243))*((Auswertung!$C$7/2)*100-Auswertung!$C$8),3)</f>
        <v>0</v>
      </c>
      <c r="G245">
        <f>ROUND(TAN(RADIANS(CSV_Import!S243))*((Auswertung!$C$7/2)*100-Auswertung!$C$8),3)</f>
        <v>0</v>
      </c>
      <c r="H245">
        <f>ROUND(TAN(RADIANS(CSV_Import!E243))*((Auswertung!$C$7/2)*100-Auswertung!$C$8),3)</f>
        <v>0</v>
      </c>
      <c r="I245">
        <f>ROUND(TAN(RADIANS(CSV_Import!V243))*((Auswertung!$C$7/2)*100-Auswertung!$C$8),3)</f>
        <v>0</v>
      </c>
      <c r="K245">
        <f>(CSV_Import!$N$2-CSV_Import!N243)</f>
        <v>0</v>
      </c>
      <c r="L245">
        <f>(CSV_Import!$AE$2-CSV_Import!AE243)</f>
        <v>0</v>
      </c>
    </row>
    <row r="246" spans="2:12" x14ac:dyDescent="0.3">
      <c r="B246">
        <f>(CSV_Import!G244-CSV_Import!$G$2)/1000</f>
        <v>0</v>
      </c>
      <c r="D246">
        <f>ROUND(TAN(RADIANS(CSV_Import!D244))*((Auswertung!$C$7*100)/2-Auswertung!$C$8),3)</f>
        <v>0</v>
      </c>
      <c r="E246">
        <f>ROUND(TAN(RADIANS(CSV_Import!U244))*((Auswertung!$C$7/2)*100-Auswertung!$C$8),3)</f>
        <v>0</v>
      </c>
      <c r="F246">
        <f>ROUND(TAN(RADIANS(CSV_Import!B244))*((Auswertung!$C$7/2)*100-Auswertung!$C$8),3)</f>
        <v>0</v>
      </c>
      <c r="G246">
        <f>ROUND(TAN(RADIANS(CSV_Import!S244))*((Auswertung!$C$7/2)*100-Auswertung!$C$8),3)</f>
        <v>0</v>
      </c>
      <c r="H246">
        <f>ROUND(TAN(RADIANS(CSV_Import!E244))*((Auswertung!$C$7/2)*100-Auswertung!$C$8),3)</f>
        <v>0</v>
      </c>
      <c r="I246">
        <f>ROUND(TAN(RADIANS(CSV_Import!V244))*((Auswertung!$C$7/2)*100-Auswertung!$C$8),3)</f>
        <v>0</v>
      </c>
      <c r="K246">
        <f>(CSV_Import!$N$2-CSV_Import!N244)</f>
        <v>0</v>
      </c>
      <c r="L246">
        <f>(CSV_Import!$AE$2-CSV_Import!AE244)</f>
        <v>0</v>
      </c>
    </row>
    <row r="247" spans="2:12" x14ac:dyDescent="0.3">
      <c r="B247">
        <f>(CSV_Import!G245-CSV_Import!$G$2)/1000</f>
        <v>0</v>
      </c>
      <c r="D247">
        <f>ROUND(TAN(RADIANS(CSV_Import!D245))*((Auswertung!$C$7*100)/2-Auswertung!$C$8),3)</f>
        <v>0</v>
      </c>
      <c r="E247">
        <f>ROUND(TAN(RADIANS(CSV_Import!U245))*((Auswertung!$C$7/2)*100-Auswertung!$C$8),3)</f>
        <v>0</v>
      </c>
      <c r="F247">
        <f>ROUND(TAN(RADIANS(CSV_Import!B245))*((Auswertung!$C$7/2)*100-Auswertung!$C$8),3)</f>
        <v>0</v>
      </c>
      <c r="G247">
        <f>ROUND(TAN(RADIANS(CSV_Import!S245))*((Auswertung!$C$7/2)*100-Auswertung!$C$8),3)</f>
        <v>0</v>
      </c>
      <c r="H247">
        <f>ROUND(TAN(RADIANS(CSV_Import!E245))*((Auswertung!$C$7/2)*100-Auswertung!$C$8),3)</f>
        <v>0</v>
      </c>
      <c r="I247">
        <f>ROUND(TAN(RADIANS(CSV_Import!V245))*((Auswertung!$C$7/2)*100-Auswertung!$C$8),3)</f>
        <v>0</v>
      </c>
      <c r="K247">
        <f>(CSV_Import!$N$2-CSV_Import!N245)</f>
        <v>0</v>
      </c>
      <c r="L247">
        <f>(CSV_Import!$AE$2-CSV_Import!AE245)</f>
        <v>0</v>
      </c>
    </row>
    <row r="248" spans="2:12" x14ac:dyDescent="0.3">
      <c r="B248">
        <f>(CSV_Import!G246-CSV_Import!$G$2)/1000</f>
        <v>0</v>
      </c>
      <c r="D248">
        <f>ROUND(TAN(RADIANS(CSV_Import!D246))*((Auswertung!$C$7*100)/2-Auswertung!$C$8),3)</f>
        <v>0</v>
      </c>
      <c r="E248">
        <f>ROUND(TAN(RADIANS(CSV_Import!U246))*((Auswertung!$C$7/2)*100-Auswertung!$C$8),3)</f>
        <v>0</v>
      </c>
      <c r="F248">
        <f>ROUND(TAN(RADIANS(CSV_Import!B246))*((Auswertung!$C$7/2)*100-Auswertung!$C$8),3)</f>
        <v>0</v>
      </c>
      <c r="G248">
        <f>ROUND(TAN(RADIANS(CSV_Import!S246))*((Auswertung!$C$7/2)*100-Auswertung!$C$8),3)</f>
        <v>0</v>
      </c>
      <c r="H248">
        <f>ROUND(TAN(RADIANS(CSV_Import!E246))*((Auswertung!$C$7/2)*100-Auswertung!$C$8),3)</f>
        <v>0</v>
      </c>
      <c r="I248">
        <f>ROUND(TAN(RADIANS(CSV_Import!V246))*((Auswertung!$C$7/2)*100-Auswertung!$C$8),3)</f>
        <v>0</v>
      </c>
      <c r="K248">
        <f>(CSV_Import!$N$2-CSV_Import!N246)</f>
        <v>0</v>
      </c>
      <c r="L248">
        <f>(CSV_Import!$AE$2-CSV_Import!AE246)</f>
        <v>0</v>
      </c>
    </row>
    <row r="249" spans="2:12" x14ac:dyDescent="0.3">
      <c r="B249">
        <f>(CSV_Import!G247-CSV_Import!$G$2)/1000</f>
        <v>0</v>
      </c>
      <c r="D249">
        <f>ROUND(TAN(RADIANS(CSV_Import!D247))*((Auswertung!$C$7*100)/2-Auswertung!$C$8),3)</f>
        <v>0</v>
      </c>
      <c r="E249">
        <f>ROUND(TAN(RADIANS(CSV_Import!U247))*((Auswertung!$C$7/2)*100-Auswertung!$C$8),3)</f>
        <v>0</v>
      </c>
      <c r="F249">
        <f>ROUND(TAN(RADIANS(CSV_Import!B247))*((Auswertung!$C$7/2)*100-Auswertung!$C$8),3)</f>
        <v>0</v>
      </c>
      <c r="G249">
        <f>ROUND(TAN(RADIANS(CSV_Import!S247))*((Auswertung!$C$7/2)*100-Auswertung!$C$8),3)</f>
        <v>0</v>
      </c>
      <c r="H249">
        <f>ROUND(TAN(RADIANS(CSV_Import!E247))*((Auswertung!$C$7/2)*100-Auswertung!$C$8),3)</f>
        <v>0</v>
      </c>
      <c r="I249">
        <f>ROUND(TAN(RADIANS(CSV_Import!V247))*((Auswertung!$C$7/2)*100-Auswertung!$C$8),3)</f>
        <v>0</v>
      </c>
      <c r="K249">
        <f>(CSV_Import!$N$2-CSV_Import!N247)</f>
        <v>0</v>
      </c>
      <c r="L249">
        <f>(CSV_Import!$AE$2-CSV_Import!AE247)</f>
        <v>0</v>
      </c>
    </row>
    <row r="250" spans="2:12" x14ac:dyDescent="0.3">
      <c r="B250">
        <f>(CSV_Import!G248-CSV_Import!$G$2)/1000</f>
        <v>0</v>
      </c>
      <c r="D250">
        <f>ROUND(TAN(RADIANS(CSV_Import!D248))*((Auswertung!$C$7*100)/2-Auswertung!$C$8),3)</f>
        <v>0</v>
      </c>
      <c r="E250">
        <f>ROUND(TAN(RADIANS(CSV_Import!U248))*((Auswertung!$C$7/2)*100-Auswertung!$C$8),3)</f>
        <v>0</v>
      </c>
      <c r="F250">
        <f>ROUND(TAN(RADIANS(CSV_Import!B248))*((Auswertung!$C$7/2)*100-Auswertung!$C$8),3)</f>
        <v>0</v>
      </c>
      <c r="G250">
        <f>ROUND(TAN(RADIANS(CSV_Import!S248))*((Auswertung!$C$7/2)*100-Auswertung!$C$8),3)</f>
        <v>0</v>
      </c>
      <c r="H250">
        <f>ROUND(TAN(RADIANS(CSV_Import!E248))*((Auswertung!$C$7/2)*100-Auswertung!$C$8),3)</f>
        <v>0</v>
      </c>
      <c r="I250">
        <f>ROUND(TAN(RADIANS(CSV_Import!V248))*((Auswertung!$C$7/2)*100-Auswertung!$C$8),3)</f>
        <v>0</v>
      </c>
      <c r="K250">
        <f>(CSV_Import!$N$2-CSV_Import!N248)</f>
        <v>0</v>
      </c>
      <c r="L250">
        <f>(CSV_Import!$AE$2-CSV_Import!AE248)</f>
        <v>0</v>
      </c>
    </row>
    <row r="251" spans="2:12" x14ac:dyDescent="0.3">
      <c r="B251">
        <f>(CSV_Import!G249-CSV_Import!$G$2)/1000</f>
        <v>0</v>
      </c>
      <c r="D251">
        <f>ROUND(TAN(RADIANS(CSV_Import!D249))*((Auswertung!$C$7*100)/2-Auswertung!$C$8),3)</f>
        <v>0</v>
      </c>
      <c r="E251">
        <f>ROUND(TAN(RADIANS(CSV_Import!U249))*((Auswertung!$C$7/2)*100-Auswertung!$C$8),3)</f>
        <v>0</v>
      </c>
      <c r="F251">
        <f>ROUND(TAN(RADIANS(CSV_Import!B249))*((Auswertung!$C$7/2)*100-Auswertung!$C$8),3)</f>
        <v>0</v>
      </c>
      <c r="G251">
        <f>ROUND(TAN(RADIANS(CSV_Import!S249))*((Auswertung!$C$7/2)*100-Auswertung!$C$8),3)</f>
        <v>0</v>
      </c>
      <c r="H251">
        <f>ROUND(TAN(RADIANS(CSV_Import!E249))*((Auswertung!$C$7/2)*100-Auswertung!$C$8),3)</f>
        <v>0</v>
      </c>
      <c r="I251">
        <f>ROUND(TAN(RADIANS(CSV_Import!V249))*((Auswertung!$C$7/2)*100-Auswertung!$C$8),3)</f>
        <v>0</v>
      </c>
      <c r="K251">
        <f>(CSV_Import!$N$2-CSV_Import!N249)</f>
        <v>0</v>
      </c>
      <c r="L251">
        <f>(CSV_Import!$AE$2-CSV_Import!AE249)</f>
        <v>0</v>
      </c>
    </row>
    <row r="252" spans="2:12" x14ac:dyDescent="0.3">
      <c r="B252">
        <f>(CSV_Import!G250-CSV_Import!$G$2)/1000</f>
        <v>0</v>
      </c>
      <c r="D252">
        <f>ROUND(TAN(RADIANS(CSV_Import!D250))*((Auswertung!$C$7*100)/2-Auswertung!$C$8),3)</f>
        <v>0</v>
      </c>
      <c r="E252">
        <f>ROUND(TAN(RADIANS(CSV_Import!U250))*((Auswertung!$C$7/2)*100-Auswertung!$C$8),3)</f>
        <v>0</v>
      </c>
      <c r="F252">
        <f>ROUND(TAN(RADIANS(CSV_Import!B250))*((Auswertung!$C$7/2)*100-Auswertung!$C$8),3)</f>
        <v>0</v>
      </c>
      <c r="G252">
        <f>ROUND(TAN(RADIANS(CSV_Import!S250))*((Auswertung!$C$7/2)*100-Auswertung!$C$8),3)</f>
        <v>0</v>
      </c>
      <c r="H252">
        <f>ROUND(TAN(RADIANS(CSV_Import!E250))*((Auswertung!$C$7/2)*100-Auswertung!$C$8),3)</f>
        <v>0</v>
      </c>
      <c r="I252">
        <f>ROUND(TAN(RADIANS(CSV_Import!V250))*((Auswertung!$C$7/2)*100-Auswertung!$C$8),3)</f>
        <v>0</v>
      </c>
      <c r="K252">
        <f>(CSV_Import!$N$2-CSV_Import!N250)</f>
        <v>0</v>
      </c>
      <c r="L252">
        <f>(CSV_Import!$AE$2-CSV_Import!AE250)</f>
        <v>0</v>
      </c>
    </row>
    <row r="253" spans="2:12" x14ac:dyDescent="0.3">
      <c r="B253">
        <f>(CSV_Import!G251-CSV_Import!$G$2)/1000</f>
        <v>0</v>
      </c>
      <c r="D253">
        <f>ROUND(TAN(RADIANS(CSV_Import!D251))*((Auswertung!$C$7*100)/2-Auswertung!$C$8),3)</f>
        <v>0</v>
      </c>
      <c r="E253">
        <f>ROUND(TAN(RADIANS(CSV_Import!U251))*((Auswertung!$C$7/2)*100-Auswertung!$C$8),3)</f>
        <v>0</v>
      </c>
      <c r="F253">
        <f>ROUND(TAN(RADIANS(CSV_Import!B251))*((Auswertung!$C$7/2)*100-Auswertung!$C$8),3)</f>
        <v>0</v>
      </c>
      <c r="G253">
        <f>ROUND(TAN(RADIANS(CSV_Import!S251))*((Auswertung!$C$7/2)*100-Auswertung!$C$8),3)</f>
        <v>0</v>
      </c>
      <c r="H253">
        <f>ROUND(TAN(RADIANS(CSV_Import!E251))*((Auswertung!$C$7/2)*100-Auswertung!$C$8),3)</f>
        <v>0</v>
      </c>
      <c r="I253">
        <f>ROUND(TAN(RADIANS(CSV_Import!V251))*((Auswertung!$C$7/2)*100-Auswertung!$C$8),3)</f>
        <v>0</v>
      </c>
      <c r="K253">
        <f>(CSV_Import!$N$2-CSV_Import!N251)</f>
        <v>0</v>
      </c>
      <c r="L253">
        <f>(CSV_Import!$AE$2-CSV_Import!AE251)</f>
        <v>0</v>
      </c>
    </row>
    <row r="254" spans="2:12" x14ac:dyDescent="0.3">
      <c r="B254">
        <f>(CSV_Import!G252-CSV_Import!$G$2)/1000</f>
        <v>0</v>
      </c>
      <c r="D254">
        <f>ROUND(TAN(RADIANS(CSV_Import!D252))*((Auswertung!$C$7*100)/2-Auswertung!$C$8),3)</f>
        <v>0</v>
      </c>
      <c r="E254">
        <f>ROUND(TAN(RADIANS(CSV_Import!U252))*((Auswertung!$C$7/2)*100-Auswertung!$C$8),3)</f>
        <v>0</v>
      </c>
      <c r="F254">
        <f>ROUND(TAN(RADIANS(CSV_Import!B252))*((Auswertung!$C$7/2)*100-Auswertung!$C$8),3)</f>
        <v>0</v>
      </c>
      <c r="G254">
        <f>ROUND(TAN(RADIANS(CSV_Import!S252))*((Auswertung!$C$7/2)*100-Auswertung!$C$8),3)</f>
        <v>0</v>
      </c>
      <c r="H254">
        <f>ROUND(TAN(RADIANS(CSV_Import!E252))*((Auswertung!$C$7/2)*100-Auswertung!$C$8),3)</f>
        <v>0</v>
      </c>
      <c r="I254">
        <f>ROUND(TAN(RADIANS(CSV_Import!V252))*((Auswertung!$C$7/2)*100-Auswertung!$C$8),3)</f>
        <v>0</v>
      </c>
      <c r="K254">
        <f>(CSV_Import!$N$2-CSV_Import!N252)</f>
        <v>0</v>
      </c>
      <c r="L254">
        <f>(CSV_Import!$AE$2-CSV_Import!AE252)</f>
        <v>0</v>
      </c>
    </row>
    <row r="255" spans="2:12" x14ac:dyDescent="0.3">
      <c r="B255">
        <f>(CSV_Import!G253-CSV_Import!$G$2)/1000</f>
        <v>0</v>
      </c>
      <c r="D255">
        <f>ROUND(TAN(RADIANS(CSV_Import!D253))*((Auswertung!$C$7*100)/2-Auswertung!$C$8),3)</f>
        <v>0</v>
      </c>
      <c r="E255">
        <f>ROUND(TAN(RADIANS(CSV_Import!U253))*((Auswertung!$C$7/2)*100-Auswertung!$C$8),3)</f>
        <v>0</v>
      </c>
      <c r="F255">
        <f>ROUND(TAN(RADIANS(CSV_Import!B253))*((Auswertung!$C$7/2)*100-Auswertung!$C$8),3)</f>
        <v>0</v>
      </c>
      <c r="G255">
        <f>ROUND(TAN(RADIANS(CSV_Import!S253))*((Auswertung!$C$7/2)*100-Auswertung!$C$8),3)</f>
        <v>0</v>
      </c>
      <c r="H255">
        <f>ROUND(TAN(RADIANS(CSV_Import!E253))*((Auswertung!$C$7/2)*100-Auswertung!$C$8),3)</f>
        <v>0</v>
      </c>
      <c r="I255">
        <f>ROUND(TAN(RADIANS(CSV_Import!V253))*((Auswertung!$C$7/2)*100-Auswertung!$C$8),3)</f>
        <v>0</v>
      </c>
      <c r="K255">
        <f>(CSV_Import!$N$2-CSV_Import!N253)</f>
        <v>0</v>
      </c>
      <c r="L255">
        <f>(CSV_Import!$AE$2-CSV_Import!AE253)</f>
        <v>0</v>
      </c>
    </row>
    <row r="256" spans="2:12" x14ac:dyDescent="0.3">
      <c r="B256">
        <f>(CSV_Import!G254-CSV_Import!$G$2)/1000</f>
        <v>0</v>
      </c>
      <c r="D256">
        <f>ROUND(TAN(RADIANS(CSV_Import!D254))*((Auswertung!$C$7*100)/2-Auswertung!$C$8),3)</f>
        <v>0</v>
      </c>
      <c r="E256">
        <f>ROUND(TAN(RADIANS(CSV_Import!U254))*((Auswertung!$C$7/2)*100-Auswertung!$C$8),3)</f>
        <v>0</v>
      </c>
      <c r="F256">
        <f>ROUND(TAN(RADIANS(CSV_Import!B254))*((Auswertung!$C$7/2)*100-Auswertung!$C$8),3)</f>
        <v>0</v>
      </c>
      <c r="G256">
        <f>ROUND(TAN(RADIANS(CSV_Import!S254))*((Auswertung!$C$7/2)*100-Auswertung!$C$8),3)</f>
        <v>0</v>
      </c>
      <c r="H256">
        <f>ROUND(TAN(RADIANS(CSV_Import!E254))*((Auswertung!$C$7/2)*100-Auswertung!$C$8),3)</f>
        <v>0</v>
      </c>
      <c r="I256">
        <f>ROUND(TAN(RADIANS(CSV_Import!V254))*((Auswertung!$C$7/2)*100-Auswertung!$C$8),3)</f>
        <v>0</v>
      </c>
      <c r="K256">
        <f>(CSV_Import!$N$2-CSV_Import!N254)</f>
        <v>0</v>
      </c>
      <c r="L256">
        <f>(CSV_Import!$AE$2-CSV_Import!AE254)</f>
        <v>0</v>
      </c>
    </row>
    <row r="257" spans="2:12" x14ac:dyDescent="0.3">
      <c r="B257">
        <f>(CSV_Import!G255-CSV_Import!$G$2)/1000</f>
        <v>0</v>
      </c>
      <c r="D257">
        <f>ROUND(TAN(RADIANS(CSV_Import!D255))*((Auswertung!$C$7*100)/2-Auswertung!$C$8),3)</f>
        <v>0</v>
      </c>
      <c r="E257">
        <f>ROUND(TAN(RADIANS(CSV_Import!U255))*((Auswertung!$C$7/2)*100-Auswertung!$C$8),3)</f>
        <v>0</v>
      </c>
      <c r="F257">
        <f>ROUND(TAN(RADIANS(CSV_Import!B255))*((Auswertung!$C$7/2)*100-Auswertung!$C$8),3)</f>
        <v>0</v>
      </c>
      <c r="G257">
        <f>ROUND(TAN(RADIANS(CSV_Import!S255))*((Auswertung!$C$7/2)*100-Auswertung!$C$8),3)</f>
        <v>0</v>
      </c>
      <c r="H257">
        <f>ROUND(TAN(RADIANS(CSV_Import!E255))*((Auswertung!$C$7/2)*100-Auswertung!$C$8),3)</f>
        <v>0</v>
      </c>
      <c r="I257">
        <f>ROUND(TAN(RADIANS(CSV_Import!V255))*((Auswertung!$C$7/2)*100-Auswertung!$C$8),3)</f>
        <v>0</v>
      </c>
      <c r="K257">
        <f>(CSV_Import!$N$2-CSV_Import!N255)</f>
        <v>0</v>
      </c>
      <c r="L257">
        <f>(CSV_Import!$AE$2-CSV_Import!AE255)</f>
        <v>0</v>
      </c>
    </row>
    <row r="258" spans="2:12" x14ac:dyDescent="0.3">
      <c r="B258">
        <f>(CSV_Import!G256-CSV_Import!$G$2)/1000</f>
        <v>0</v>
      </c>
      <c r="D258">
        <f>ROUND(TAN(RADIANS(CSV_Import!D256))*((Auswertung!$C$7*100)/2-Auswertung!$C$8),3)</f>
        <v>0</v>
      </c>
      <c r="E258">
        <f>ROUND(TAN(RADIANS(CSV_Import!U256))*((Auswertung!$C$7/2)*100-Auswertung!$C$8),3)</f>
        <v>0</v>
      </c>
      <c r="F258">
        <f>ROUND(TAN(RADIANS(CSV_Import!B256))*((Auswertung!$C$7/2)*100-Auswertung!$C$8),3)</f>
        <v>0</v>
      </c>
      <c r="G258">
        <f>ROUND(TAN(RADIANS(CSV_Import!S256))*((Auswertung!$C$7/2)*100-Auswertung!$C$8),3)</f>
        <v>0</v>
      </c>
      <c r="H258">
        <f>ROUND(TAN(RADIANS(CSV_Import!E256))*((Auswertung!$C$7/2)*100-Auswertung!$C$8),3)</f>
        <v>0</v>
      </c>
      <c r="I258">
        <f>ROUND(TAN(RADIANS(CSV_Import!V256))*((Auswertung!$C$7/2)*100-Auswertung!$C$8),3)</f>
        <v>0</v>
      </c>
      <c r="K258">
        <f>(CSV_Import!$N$2-CSV_Import!N256)</f>
        <v>0</v>
      </c>
      <c r="L258">
        <f>(CSV_Import!$AE$2-CSV_Import!AE256)</f>
        <v>0</v>
      </c>
    </row>
    <row r="259" spans="2:12" x14ac:dyDescent="0.3">
      <c r="B259">
        <f>(CSV_Import!G257-CSV_Import!$G$2)/1000</f>
        <v>0</v>
      </c>
      <c r="D259">
        <f>ROUND(TAN(RADIANS(CSV_Import!D257))*((Auswertung!$C$7*100)/2-Auswertung!$C$8),3)</f>
        <v>0</v>
      </c>
      <c r="E259">
        <f>ROUND(TAN(RADIANS(CSV_Import!U257))*((Auswertung!$C$7/2)*100-Auswertung!$C$8),3)</f>
        <v>0</v>
      </c>
      <c r="F259">
        <f>ROUND(TAN(RADIANS(CSV_Import!B257))*((Auswertung!$C$7/2)*100-Auswertung!$C$8),3)</f>
        <v>0</v>
      </c>
      <c r="G259">
        <f>ROUND(TAN(RADIANS(CSV_Import!S257))*((Auswertung!$C$7/2)*100-Auswertung!$C$8),3)</f>
        <v>0</v>
      </c>
      <c r="H259">
        <f>ROUND(TAN(RADIANS(CSV_Import!E257))*((Auswertung!$C$7/2)*100-Auswertung!$C$8),3)</f>
        <v>0</v>
      </c>
      <c r="I259">
        <f>ROUND(TAN(RADIANS(CSV_Import!V257))*((Auswertung!$C$7/2)*100-Auswertung!$C$8),3)</f>
        <v>0</v>
      </c>
      <c r="K259">
        <f>(CSV_Import!$N$2-CSV_Import!N257)</f>
        <v>0</v>
      </c>
      <c r="L259">
        <f>(CSV_Import!$AE$2-CSV_Import!AE257)</f>
        <v>0</v>
      </c>
    </row>
    <row r="260" spans="2:12" x14ac:dyDescent="0.3">
      <c r="B260">
        <f>(CSV_Import!G258-CSV_Import!$G$2)/1000</f>
        <v>0</v>
      </c>
      <c r="D260">
        <f>ROUND(TAN(RADIANS(CSV_Import!D258))*((Auswertung!$C$7*100)/2-Auswertung!$C$8),3)</f>
        <v>0</v>
      </c>
      <c r="E260">
        <f>ROUND(TAN(RADIANS(CSV_Import!U258))*((Auswertung!$C$7/2)*100-Auswertung!$C$8),3)</f>
        <v>0</v>
      </c>
      <c r="F260">
        <f>ROUND(TAN(RADIANS(CSV_Import!B258))*((Auswertung!$C$7/2)*100-Auswertung!$C$8),3)</f>
        <v>0</v>
      </c>
      <c r="G260">
        <f>ROUND(TAN(RADIANS(CSV_Import!S258))*((Auswertung!$C$7/2)*100-Auswertung!$C$8),3)</f>
        <v>0</v>
      </c>
      <c r="H260">
        <f>ROUND(TAN(RADIANS(CSV_Import!E258))*((Auswertung!$C$7/2)*100-Auswertung!$C$8),3)</f>
        <v>0</v>
      </c>
      <c r="I260">
        <f>ROUND(TAN(RADIANS(CSV_Import!V258))*((Auswertung!$C$7/2)*100-Auswertung!$C$8),3)</f>
        <v>0</v>
      </c>
      <c r="K260">
        <f>(CSV_Import!$N$2-CSV_Import!N258)</f>
        <v>0</v>
      </c>
      <c r="L260">
        <f>(CSV_Import!$AE$2-CSV_Import!AE258)</f>
        <v>0</v>
      </c>
    </row>
    <row r="261" spans="2:12" x14ac:dyDescent="0.3">
      <c r="B261">
        <f>(CSV_Import!G259-CSV_Import!$G$2)/1000</f>
        <v>0</v>
      </c>
      <c r="D261">
        <f>ROUND(TAN(RADIANS(CSV_Import!D259))*((Auswertung!$C$7*100)/2-Auswertung!$C$8),3)</f>
        <v>0</v>
      </c>
      <c r="E261">
        <f>ROUND(TAN(RADIANS(CSV_Import!U259))*((Auswertung!$C$7/2)*100-Auswertung!$C$8),3)</f>
        <v>0</v>
      </c>
      <c r="F261">
        <f>ROUND(TAN(RADIANS(CSV_Import!B259))*((Auswertung!$C$7/2)*100-Auswertung!$C$8),3)</f>
        <v>0</v>
      </c>
      <c r="G261">
        <f>ROUND(TAN(RADIANS(CSV_Import!S259))*((Auswertung!$C$7/2)*100-Auswertung!$C$8),3)</f>
        <v>0</v>
      </c>
      <c r="H261">
        <f>ROUND(TAN(RADIANS(CSV_Import!E259))*((Auswertung!$C$7/2)*100-Auswertung!$C$8),3)</f>
        <v>0</v>
      </c>
      <c r="I261">
        <f>ROUND(TAN(RADIANS(CSV_Import!V259))*((Auswertung!$C$7/2)*100-Auswertung!$C$8),3)</f>
        <v>0</v>
      </c>
      <c r="K261">
        <f>(CSV_Import!$N$2-CSV_Import!N259)</f>
        <v>0</v>
      </c>
      <c r="L261">
        <f>(CSV_Import!$AE$2-CSV_Import!AE259)</f>
        <v>0</v>
      </c>
    </row>
    <row r="262" spans="2:12" x14ac:dyDescent="0.3">
      <c r="B262">
        <f>(CSV_Import!G260-CSV_Import!$G$2)/1000</f>
        <v>0</v>
      </c>
      <c r="D262">
        <f>ROUND(TAN(RADIANS(CSV_Import!D260))*((Auswertung!$C$7*100)/2-Auswertung!$C$8),3)</f>
        <v>0</v>
      </c>
      <c r="E262">
        <f>ROUND(TAN(RADIANS(CSV_Import!U260))*((Auswertung!$C$7/2)*100-Auswertung!$C$8),3)</f>
        <v>0</v>
      </c>
      <c r="F262">
        <f>ROUND(TAN(RADIANS(CSV_Import!B260))*((Auswertung!$C$7/2)*100-Auswertung!$C$8),3)</f>
        <v>0</v>
      </c>
      <c r="G262">
        <f>ROUND(TAN(RADIANS(CSV_Import!S260))*((Auswertung!$C$7/2)*100-Auswertung!$C$8),3)</f>
        <v>0</v>
      </c>
      <c r="H262">
        <f>ROUND(TAN(RADIANS(CSV_Import!E260))*((Auswertung!$C$7/2)*100-Auswertung!$C$8),3)</f>
        <v>0</v>
      </c>
      <c r="I262">
        <f>ROUND(TAN(RADIANS(CSV_Import!V260))*((Auswertung!$C$7/2)*100-Auswertung!$C$8),3)</f>
        <v>0</v>
      </c>
      <c r="K262">
        <f>(CSV_Import!$N$2-CSV_Import!N260)</f>
        <v>0</v>
      </c>
      <c r="L262">
        <f>(CSV_Import!$AE$2-CSV_Import!AE260)</f>
        <v>0</v>
      </c>
    </row>
    <row r="263" spans="2:12" x14ac:dyDescent="0.3">
      <c r="B263">
        <f>(CSV_Import!G261-CSV_Import!$G$2)/1000</f>
        <v>0</v>
      </c>
      <c r="D263">
        <f>ROUND(TAN(RADIANS(CSV_Import!D261))*((Auswertung!$C$7*100)/2-Auswertung!$C$8),3)</f>
        <v>0</v>
      </c>
      <c r="E263">
        <f>ROUND(TAN(RADIANS(CSV_Import!U261))*((Auswertung!$C$7/2)*100-Auswertung!$C$8),3)</f>
        <v>0</v>
      </c>
      <c r="F263">
        <f>ROUND(TAN(RADIANS(CSV_Import!B261))*((Auswertung!$C$7/2)*100-Auswertung!$C$8),3)</f>
        <v>0</v>
      </c>
      <c r="G263">
        <f>ROUND(TAN(RADIANS(CSV_Import!S261))*((Auswertung!$C$7/2)*100-Auswertung!$C$8),3)</f>
        <v>0</v>
      </c>
      <c r="H263">
        <f>ROUND(TAN(RADIANS(CSV_Import!E261))*((Auswertung!$C$7/2)*100-Auswertung!$C$8),3)</f>
        <v>0</v>
      </c>
      <c r="I263">
        <f>ROUND(TAN(RADIANS(CSV_Import!V261))*((Auswertung!$C$7/2)*100-Auswertung!$C$8),3)</f>
        <v>0</v>
      </c>
      <c r="K263">
        <f>(CSV_Import!$N$2-CSV_Import!N261)</f>
        <v>0</v>
      </c>
      <c r="L263">
        <f>(CSV_Import!$AE$2-CSV_Import!AE261)</f>
        <v>0</v>
      </c>
    </row>
    <row r="264" spans="2:12" x14ac:dyDescent="0.3">
      <c r="B264">
        <f>(CSV_Import!G262-CSV_Import!$G$2)/1000</f>
        <v>0</v>
      </c>
      <c r="D264">
        <f>ROUND(TAN(RADIANS(CSV_Import!D262))*((Auswertung!$C$7*100)/2-Auswertung!$C$8),3)</f>
        <v>0</v>
      </c>
      <c r="E264">
        <f>ROUND(TAN(RADIANS(CSV_Import!U262))*((Auswertung!$C$7/2)*100-Auswertung!$C$8),3)</f>
        <v>0</v>
      </c>
      <c r="F264">
        <f>ROUND(TAN(RADIANS(CSV_Import!B262))*((Auswertung!$C$7/2)*100-Auswertung!$C$8),3)</f>
        <v>0</v>
      </c>
      <c r="G264">
        <f>ROUND(TAN(RADIANS(CSV_Import!S262))*((Auswertung!$C$7/2)*100-Auswertung!$C$8),3)</f>
        <v>0</v>
      </c>
      <c r="H264">
        <f>ROUND(TAN(RADIANS(CSV_Import!E262))*((Auswertung!$C$7/2)*100-Auswertung!$C$8),3)</f>
        <v>0</v>
      </c>
      <c r="I264">
        <f>ROUND(TAN(RADIANS(CSV_Import!V262))*((Auswertung!$C$7/2)*100-Auswertung!$C$8),3)</f>
        <v>0</v>
      </c>
      <c r="K264">
        <f>(CSV_Import!$N$2-CSV_Import!N262)</f>
        <v>0</v>
      </c>
      <c r="L264">
        <f>(CSV_Import!$AE$2-CSV_Import!AE262)</f>
        <v>0</v>
      </c>
    </row>
    <row r="265" spans="2:12" x14ac:dyDescent="0.3">
      <c r="B265">
        <f>(CSV_Import!G263-CSV_Import!$G$2)/1000</f>
        <v>0</v>
      </c>
      <c r="D265">
        <f>ROUND(TAN(RADIANS(CSV_Import!D263))*((Auswertung!$C$7*100)/2-Auswertung!$C$8),3)</f>
        <v>0</v>
      </c>
      <c r="E265">
        <f>ROUND(TAN(RADIANS(CSV_Import!U263))*((Auswertung!$C$7/2)*100-Auswertung!$C$8),3)</f>
        <v>0</v>
      </c>
      <c r="F265">
        <f>ROUND(TAN(RADIANS(CSV_Import!B263))*((Auswertung!$C$7/2)*100-Auswertung!$C$8),3)</f>
        <v>0</v>
      </c>
      <c r="G265">
        <f>ROUND(TAN(RADIANS(CSV_Import!S263))*((Auswertung!$C$7/2)*100-Auswertung!$C$8),3)</f>
        <v>0</v>
      </c>
      <c r="H265">
        <f>ROUND(TAN(RADIANS(CSV_Import!E263))*((Auswertung!$C$7/2)*100-Auswertung!$C$8),3)</f>
        <v>0</v>
      </c>
      <c r="I265">
        <f>ROUND(TAN(RADIANS(CSV_Import!V263))*((Auswertung!$C$7/2)*100-Auswertung!$C$8),3)</f>
        <v>0</v>
      </c>
      <c r="K265">
        <f>(CSV_Import!$N$2-CSV_Import!N263)</f>
        <v>0</v>
      </c>
      <c r="L265">
        <f>(CSV_Import!$AE$2-CSV_Import!AE263)</f>
        <v>0</v>
      </c>
    </row>
    <row r="266" spans="2:12" x14ac:dyDescent="0.3">
      <c r="B266">
        <f>(CSV_Import!G264-CSV_Import!$G$2)/1000</f>
        <v>0</v>
      </c>
      <c r="D266">
        <f>ROUND(TAN(RADIANS(CSV_Import!D264))*((Auswertung!$C$7*100)/2-Auswertung!$C$8),3)</f>
        <v>0</v>
      </c>
      <c r="E266">
        <f>ROUND(TAN(RADIANS(CSV_Import!U264))*((Auswertung!$C$7/2)*100-Auswertung!$C$8),3)</f>
        <v>0</v>
      </c>
      <c r="F266">
        <f>ROUND(TAN(RADIANS(CSV_Import!B264))*((Auswertung!$C$7/2)*100-Auswertung!$C$8),3)</f>
        <v>0</v>
      </c>
      <c r="G266">
        <f>ROUND(TAN(RADIANS(CSV_Import!S264))*((Auswertung!$C$7/2)*100-Auswertung!$C$8),3)</f>
        <v>0</v>
      </c>
      <c r="H266">
        <f>ROUND(TAN(RADIANS(CSV_Import!E264))*((Auswertung!$C$7/2)*100-Auswertung!$C$8),3)</f>
        <v>0</v>
      </c>
      <c r="I266">
        <f>ROUND(TAN(RADIANS(CSV_Import!V264))*((Auswertung!$C$7/2)*100-Auswertung!$C$8),3)</f>
        <v>0</v>
      </c>
      <c r="K266">
        <f>(CSV_Import!$N$2-CSV_Import!N264)</f>
        <v>0</v>
      </c>
      <c r="L266">
        <f>(CSV_Import!$AE$2-CSV_Import!AE264)</f>
        <v>0</v>
      </c>
    </row>
    <row r="267" spans="2:12" x14ac:dyDescent="0.3">
      <c r="B267">
        <f>(CSV_Import!G265-CSV_Import!$G$2)/1000</f>
        <v>0</v>
      </c>
      <c r="D267">
        <f>ROUND(TAN(RADIANS(CSV_Import!D265))*((Auswertung!$C$7*100)/2-Auswertung!$C$8),3)</f>
        <v>0</v>
      </c>
      <c r="E267">
        <f>ROUND(TAN(RADIANS(CSV_Import!U265))*((Auswertung!$C$7/2)*100-Auswertung!$C$8),3)</f>
        <v>0</v>
      </c>
      <c r="F267">
        <f>ROUND(TAN(RADIANS(CSV_Import!B265))*((Auswertung!$C$7/2)*100-Auswertung!$C$8),3)</f>
        <v>0</v>
      </c>
      <c r="G267">
        <f>ROUND(TAN(RADIANS(CSV_Import!S265))*((Auswertung!$C$7/2)*100-Auswertung!$C$8),3)</f>
        <v>0</v>
      </c>
      <c r="H267">
        <f>ROUND(TAN(RADIANS(CSV_Import!E265))*((Auswertung!$C$7/2)*100-Auswertung!$C$8),3)</f>
        <v>0</v>
      </c>
      <c r="I267">
        <f>ROUND(TAN(RADIANS(CSV_Import!V265))*((Auswertung!$C$7/2)*100-Auswertung!$C$8),3)</f>
        <v>0</v>
      </c>
      <c r="K267">
        <f>(CSV_Import!$N$2-CSV_Import!N265)</f>
        <v>0</v>
      </c>
      <c r="L267">
        <f>(CSV_Import!$AE$2-CSV_Import!AE265)</f>
        <v>0</v>
      </c>
    </row>
    <row r="268" spans="2:12" x14ac:dyDescent="0.3">
      <c r="B268">
        <f>(CSV_Import!G266-CSV_Import!$G$2)/1000</f>
        <v>0</v>
      </c>
      <c r="D268">
        <f>ROUND(TAN(RADIANS(CSV_Import!D266))*((Auswertung!$C$7*100)/2-Auswertung!$C$8),3)</f>
        <v>0</v>
      </c>
      <c r="E268">
        <f>ROUND(TAN(RADIANS(CSV_Import!U266))*((Auswertung!$C$7/2)*100-Auswertung!$C$8),3)</f>
        <v>0</v>
      </c>
      <c r="F268">
        <f>ROUND(TAN(RADIANS(CSV_Import!B266))*((Auswertung!$C$7/2)*100-Auswertung!$C$8),3)</f>
        <v>0</v>
      </c>
      <c r="G268">
        <f>ROUND(TAN(RADIANS(CSV_Import!S266))*((Auswertung!$C$7/2)*100-Auswertung!$C$8),3)</f>
        <v>0</v>
      </c>
      <c r="H268">
        <f>ROUND(TAN(RADIANS(CSV_Import!E266))*((Auswertung!$C$7/2)*100-Auswertung!$C$8),3)</f>
        <v>0</v>
      </c>
      <c r="I268">
        <f>ROUND(TAN(RADIANS(CSV_Import!V266))*((Auswertung!$C$7/2)*100-Auswertung!$C$8),3)</f>
        <v>0</v>
      </c>
      <c r="K268">
        <f>(CSV_Import!$N$2-CSV_Import!N266)</f>
        <v>0</v>
      </c>
      <c r="L268">
        <f>(CSV_Import!$AE$2-CSV_Import!AE266)</f>
        <v>0</v>
      </c>
    </row>
    <row r="269" spans="2:12" x14ac:dyDescent="0.3">
      <c r="B269">
        <f>(CSV_Import!G267-CSV_Import!$G$2)/1000</f>
        <v>0</v>
      </c>
      <c r="D269">
        <f>ROUND(TAN(RADIANS(CSV_Import!D267))*((Auswertung!$C$7*100)/2-Auswertung!$C$8),3)</f>
        <v>0</v>
      </c>
      <c r="E269">
        <f>ROUND(TAN(RADIANS(CSV_Import!U267))*((Auswertung!$C$7/2)*100-Auswertung!$C$8),3)</f>
        <v>0</v>
      </c>
      <c r="F269">
        <f>ROUND(TAN(RADIANS(CSV_Import!B267))*((Auswertung!$C$7/2)*100-Auswertung!$C$8),3)</f>
        <v>0</v>
      </c>
      <c r="G269">
        <f>ROUND(TAN(RADIANS(CSV_Import!S267))*((Auswertung!$C$7/2)*100-Auswertung!$C$8),3)</f>
        <v>0</v>
      </c>
      <c r="H269">
        <f>ROUND(TAN(RADIANS(CSV_Import!E267))*((Auswertung!$C$7/2)*100-Auswertung!$C$8),3)</f>
        <v>0</v>
      </c>
      <c r="I269">
        <f>ROUND(TAN(RADIANS(CSV_Import!V267))*((Auswertung!$C$7/2)*100-Auswertung!$C$8),3)</f>
        <v>0</v>
      </c>
      <c r="K269">
        <f>(CSV_Import!$N$2-CSV_Import!N267)</f>
        <v>0</v>
      </c>
      <c r="L269">
        <f>(CSV_Import!$AE$2-CSV_Import!AE267)</f>
        <v>0</v>
      </c>
    </row>
    <row r="270" spans="2:12" x14ac:dyDescent="0.3">
      <c r="B270">
        <f>(CSV_Import!G268-CSV_Import!$G$2)/1000</f>
        <v>0</v>
      </c>
      <c r="D270">
        <f>ROUND(TAN(RADIANS(CSV_Import!D268))*((Auswertung!$C$7*100)/2-Auswertung!$C$8),3)</f>
        <v>0</v>
      </c>
      <c r="E270">
        <f>ROUND(TAN(RADIANS(CSV_Import!U268))*((Auswertung!$C$7/2)*100-Auswertung!$C$8),3)</f>
        <v>0</v>
      </c>
      <c r="F270">
        <f>ROUND(TAN(RADIANS(CSV_Import!B268))*((Auswertung!$C$7/2)*100-Auswertung!$C$8),3)</f>
        <v>0</v>
      </c>
      <c r="G270">
        <f>ROUND(TAN(RADIANS(CSV_Import!S268))*((Auswertung!$C$7/2)*100-Auswertung!$C$8),3)</f>
        <v>0</v>
      </c>
      <c r="H270">
        <f>ROUND(TAN(RADIANS(CSV_Import!E268))*((Auswertung!$C$7/2)*100-Auswertung!$C$8),3)</f>
        <v>0</v>
      </c>
      <c r="I270">
        <f>ROUND(TAN(RADIANS(CSV_Import!V268))*((Auswertung!$C$7/2)*100-Auswertung!$C$8),3)</f>
        <v>0</v>
      </c>
      <c r="K270">
        <f>(CSV_Import!$N$2-CSV_Import!N268)</f>
        <v>0</v>
      </c>
      <c r="L270">
        <f>(CSV_Import!$AE$2-CSV_Import!AE268)</f>
        <v>0</v>
      </c>
    </row>
    <row r="271" spans="2:12" x14ac:dyDescent="0.3">
      <c r="B271">
        <f>(CSV_Import!G269-CSV_Import!$G$2)/1000</f>
        <v>0</v>
      </c>
      <c r="D271">
        <f>ROUND(TAN(RADIANS(CSV_Import!D269))*((Auswertung!$C$7*100)/2-Auswertung!$C$8),3)</f>
        <v>0</v>
      </c>
      <c r="E271">
        <f>ROUND(TAN(RADIANS(CSV_Import!U269))*((Auswertung!$C$7/2)*100-Auswertung!$C$8),3)</f>
        <v>0</v>
      </c>
      <c r="F271">
        <f>ROUND(TAN(RADIANS(CSV_Import!B269))*((Auswertung!$C$7/2)*100-Auswertung!$C$8),3)</f>
        <v>0</v>
      </c>
      <c r="G271">
        <f>ROUND(TAN(RADIANS(CSV_Import!S269))*((Auswertung!$C$7/2)*100-Auswertung!$C$8),3)</f>
        <v>0</v>
      </c>
      <c r="H271">
        <f>ROUND(TAN(RADIANS(CSV_Import!E269))*((Auswertung!$C$7/2)*100-Auswertung!$C$8),3)</f>
        <v>0</v>
      </c>
      <c r="I271">
        <f>ROUND(TAN(RADIANS(CSV_Import!V269))*((Auswertung!$C$7/2)*100-Auswertung!$C$8),3)</f>
        <v>0</v>
      </c>
      <c r="K271">
        <f>(CSV_Import!$N$2-CSV_Import!N269)</f>
        <v>0</v>
      </c>
      <c r="L271">
        <f>(CSV_Import!$AE$2-CSV_Import!AE269)</f>
        <v>0</v>
      </c>
    </row>
    <row r="272" spans="2:12" x14ac:dyDescent="0.3">
      <c r="B272">
        <f>(CSV_Import!G270-CSV_Import!$G$2)/1000</f>
        <v>0</v>
      </c>
      <c r="D272">
        <f>ROUND(TAN(RADIANS(CSV_Import!D270))*((Auswertung!$C$7*100)/2-Auswertung!$C$8),3)</f>
        <v>0</v>
      </c>
      <c r="E272">
        <f>ROUND(TAN(RADIANS(CSV_Import!U270))*((Auswertung!$C$7/2)*100-Auswertung!$C$8),3)</f>
        <v>0</v>
      </c>
      <c r="F272">
        <f>ROUND(TAN(RADIANS(CSV_Import!B270))*((Auswertung!$C$7/2)*100-Auswertung!$C$8),3)</f>
        <v>0</v>
      </c>
      <c r="G272">
        <f>ROUND(TAN(RADIANS(CSV_Import!S270))*((Auswertung!$C$7/2)*100-Auswertung!$C$8),3)</f>
        <v>0</v>
      </c>
      <c r="H272">
        <f>ROUND(TAN(RADIANS(CSV_Import!E270))*((Auswertung!$C$7/2)*100-Auswertung!$C$8),3)</f>
        <v>0</v>
      </c>
      <c r="I272">
        <f>ROUND(TAN(RADIANS(CSV_Import!V270))*((Auswertung!$C$7/2)*100-Auswertung!$C$8),3)</f>
        <v>0</v>
      </c>
      <c r="K272">
        <f>(CSV_Import!$N$2-CSV_Import!N270)</f>
        <v>0</v>
      </c>
      <c r="L272">
        <f>(CSV_Import!$AE$2-CSV_Import!AE270)</f>
        <v>0</v>
      </c>
    </row>
    <row r="273" spans="2:12" x14ac:dyDescent="0.3">
      <c r="B273">
        <f>(CSV_Import!G271-CSV_Import!$G$2)/1000</f>
        <v>0</v>
      </c>
      <c r="D273">
        <f>ROUND(TAN(RADIANS(CSV_Import!D271))*((Auswertung!$C$7*100)/2-Auswertung!$C$8),3)</f>
        <v>0</v>
      </c>
      <c r="E273">
        <f>ROUND(TAN(RADIANS(CSV_Import!U271))*((Auswertung!$C$7/2)*100-Auswertung!$C$8),3)</f>
        <v>0</v>
      </c>
      <c r="F273">
        <f>ROUND(TAN(RADIANS(CSV_Import!B271))*((Auswertung!$C$7/2)*100-Auswertung!$C$8),3)</f>
        <v>0</v>
      </c>
      <c r="G273">
        <f>ROUND(TAN(RADIANS(CSV_Import!S271))*((Auswertung!$C$7/2)*100-Auswertung!$C$8),3)</f>
        <v>0</v>
      </c>
      <c r="H273">
        <f>ROUND(TAN(RADIANS(CSV_Import!E271))*((Auswertung!$C$7/2)*100-Auswertung!$C$8),3)</f>
        <v>0</v>
      </c>
      <c r="I273">
        <f>ROUND(TAN(RADIANS(CSV_Import!V271))*((Auswertung!$C$7/2)*100-Auswertung!$C$8),3)</f>
        <v>0</v>
      </c>
      <c r="K273">
        <f>(CSV_Import!$N$2-CSV_Import!N271)</f>
        <v>0</v>
      </c>
      <c r="L273">
        <f>(CSV_Import!$AE$2-CSV_Import!AE271)</f>
        <v>0</v>
      </c>
    </row>
    <row r="274" spans="2:12" x14ac:dyDescent="0.3">
      <c r="B274">
        <f>(CSV_Import!G272-CSV_Import!$G$2)/1000</f>
        <v>0</v>
      </c>
      <c r="D274">
        <f>ROUND(TAN(RADIANS(CSV_Import!D272))*((Auswertung!$C$7*100)/2-Auswertung!$C$8),3)</f>
        <v>0</v>
      </c>
      <c r="E274">
        <f>ROUND(TAN(RADIANS(CSV_Import!U272))*((Auswertung!$C$7/2)*100-Auswertung!$C$8),3)</f>
        <v>0</v>
      </c>
      <c r="F274">
        <f>ROUND(TAN(RADIANS(CSV_Import!B272))*((Auswertung!$C$7/2)*100-Auswertung!$C$8),3)</f>
        <v>0</v>
      </c>
      <c r="G274">
        <f>ROUND(TAN(RADIANS(CSV_Import!S272))*((Auswertung!$C$7/2)*100-Auswertung!$C$8),3)</f>
        <v>0</v>
      </c>
      <c r="H274">
        <f>ROUND(TAN(RADIANS(CSV_Import!E272))*((Auswertung!$C$7/2)*100-Auswertung!$C$8),3)</f>
        <v>0</v>
      </c>
      <c r="I274">
        <f>ROUND(TAN(RADIANS(CSV_Import!V272))*((Auswertung!$C$7/2)*100-Auswertung!$C$8),3)</f>
        <v>0</v>
      </c>
      <c r="K274">
        <f>(CSV_Import!$N$2-CSV_Import!N272)</f>
        <v>0</v>
      </c>
      <c r="L274">
        <f>(CSV_Import!$AE$2-CSV_Import!AE272)</f>
        <v>0</v>
      </c>
    </row>
    <row r="275" spans="2:12" x14ac:dyDescent="0.3">
      <c r="B275">
        <f>(CSV_Import!G273-CSV_Import!$G$2)/1000</f>
        <v>0</v>
      </c>
      <c r="D275">
        <f>ROUND(TAN(RADIANS(CSV_Import!D273))*((Auswertung!$C$7*100)/2-Auswertung!$C$8),3)</f>
        <v>0</v>
      </c>
      <c r="E275">
        <f>ROUND(TAN(RADIANS(CSV_Import!U273))*((Auswertung!$C$7/2)*100-Auswertung!$C$8),3)</f>
        <v>0</v>
      </c>
      <c r="F275">
        <f>ROUND(TAN(RADIANS(CSV_Import!B273))*((Auswertung!$C$7/2)*100-Auswertung!$C$8),3)</f>
        <v>0</v>
      </c>
      <c r="G275">
        <f>ROUND(TAN(RADIANS(CSV_Import!S273))*((Auswertung!$C$7/2)*100-Auswertung!$C$8),3)</f>
        <v>0</v>
      </c>
      <c r="H275">
        <f>ROUND(TAN(RADIANS(CSV_Import!E273))*((Auswertung!$C$7/2)*100-Auswertung!$C$8),3)</f>
        <v>0</v>
      </c>
      <c r="I275">
        <f>ROUND(TAN(RADIANS(CSV_Import!V273))*((Auswertung!$C$7/2)*100-Auswertung!$C$8),3)</f>
        <v>0</v>
      </c>
      <c r="K275">
        <f>(CSV_Import!$N$2-CSV_Import!N273)</f>
        <v>0</v>
      </c>
      <c r="L275">
        <f>(CSV_Import!$AE$2-CSV_Import!AE273)</f>
        <v>0</v>
      </c>
    </row>
    <row r="276" spans="2:12" x14ac:dyDescent="0.3">
      <c r="B276">
        <f>(CSV_Import!G274-CSV_Import!$G$2)/1000</f>
        <v>0</v>
      </c>
      <c r="D276">
        <f>ROUND(TAN(RADIANS(CSV_Import!D274))*((Auswertung!$C$7*100)/2-Auswertung!$C$8),3)</f>
        <v>0</v>
      </c>
      <c r="E276">
        <f>ROUND(TAN(RADIANS(CSV_Import!U274))*((Auswertung!$C$7/2)*100-Auswertung!$C$8),3)</f>
        <v>0</v>
      </c>
      <c r="F276">
        <f>ROUND(TAN(RADIANS(CSV_Import!B274))*((Auswertung!$C$7/2)*100-Auswertung!$C$8),3)</f>
        <v>0</v>
      </c>
      <c r="G276">
        <f>ROUND(TAN(RADIANS(CSV_Import!S274))*((Auswertung!$C$7/2)*100-Auswertung!$C$8),3)</f>
        <v>0</v>
      </c>
      <c r="H276">
        <f>ROUND(TAN(RADIANS(CSV_Import!E274))*((Auswertung!$C$7/2)*100-Auswertung!$C$8),3)</f>
        <v>0</v>
      </c>
      <c r="I276">
        <f>ROUND(TAN(RADIANS(CSV_Import!V274))*((Auswertung!$C$7/2)*100-Auswertung!$C$8),3)</f>
        <v>0</v>
      </c>
      <c r="K276">
        <f>(CSV_Import!$N$2-CSV_Import!N274)</f>
        <v>0</v>
      </c>
      <c r="L276">
        <f>(CSV_Import!$AE$2-CSV_Import!AE274)</f>
        <v>0</v>
      </c>
    </row>
    <row r="277" spans="2:12" x14ac:dyDescent="0.3">
      <c r="B277">
        <f>(CSV_Import!G275-CSV_Import!$G$2)/1000</f>
        <v>0</v>
      </c>
      <c r="D277">
        <f>ROUND(TAN(RADIANS(CSV_Import!D275))*((Auswertung!$C$7*100)/2-Auswertung!$C$8),3)</f>
        <v>0</v>
      </c>
      <c r="E277">
        <f>ROUND(TAN(RADIANS(CSV_Import!U275))*((Auswertung!$C$7/2)*100-Auswertung!$C$8),3)</f>
        <v>0</v>
      </c>
      <c r="F277">
        <f>ROUND(TAN(RADIANS(CSV_Import!B275))*((Auswertung!$C$7/2)*100-Auswertung!$C$8),3)</f>
        <v>0</v>
      </c>
      <c r="G277">
        <f>ROUND(TAN(RADIANS(CSV_Import!S275))*((Auswertung!$C$7/2)*100-Auswertung!$C$8),3)</f>
        <v>0</v>
      </c>
      <c r="H277">
        <f>ROUND(TAN(RADIANS(CSV_Import!E275))*((Auswertung!$C$7/2)*100-Auswertung!$C$8),3)</f>
        <v>0</v>
      </c>
      <c r="I277">
        <f>ROUND(TAN(RADIANS(CSV_Import!V275))*((Auswertung!$C$7/2)*100-Auswertung!$C$8),3)</f>
        <v>0</v>
      </c>
      <c r="K277">
        <f>(CSV_Import!$N$2-CSV_Import!N275)</f>
        <v>0</v>
      </c>
      <c r="L277">
        <f>(CSV_Import!$AE$2-CSV_Import!AE275)</f>
        <v>0</v>
      </c>
    </row>
    <row r="278" spans="2:12" x14ac:dyDescent="0.3">
      <c r="B278">
        <f>(CSV_Import!G276-CSV_Import!$G$2)/1000</f>
        <v>0</v>
      </c>
      <c r="D278">
        <f>ROUND(TAN(RADIANS(CSV_Import!D276))*((Auswertung!$C$7*100)/2-Auswertung!$C$8),3)</f>
        <v>0</v>
      </c>
      <c r="E278">
        <f>ROUND(TAN(RADIANS(CSV_Import!U276))*((Auswertung!$C$7/2)*100-Auswertung!$C$8),3)</f>
        <v>0</v>
      </c>
      <c r="F278">
        <f>ROUND(TAN(RADIANS(CSV_Import!B276))*((Auswertung!$C$7/2)*100-Auswertung!$C$8),3)</f>
        <v>0</v>
      </c>
      <c r="G278">
        <f>ROUND(TAN(RADIANS(CSV_Import!S276))*((Auswertung!$C$7/2)*100-Auswertung!$C$8),3)</f>
        <v>0</v>
      </c>
      <c r="H278">
        <f>ROUND(TAN(RADIANS(CSV_Import!E276))*((Auswertung!$C$7/2)*100-Auswertung!$C$8),3)</f>
        <v>0</v>
      </c>
      <c r="I278">
        <f>ROUND(TAN(RADIANS(CSV_Import!V276))*((Auswertung!$C$7/2)*100-Auswertung!$C$8),3)</f>
        <v>0</v>
      </c>
      <c r="K278">
        <f>(CSV_Import!$N$2-CSV_Import!N276)</f>
        <v>0</v>
      </c>
      <c r="L278">
        <f>(CSV_Import!$AE$2-CSV_Import!AE276)</f>
        <v>0</v>
      </c>
    </row>
    <row r="279" spans="2:12" x14ac:dyDescent="0.3">
      <c r="B279">
        <f>(CSV_Import!G277-CSV_Import!$G$2)/1000</f>
        <v>0</v>
      </c>
      <c r="D279">
        <f>ROUND(TAN(RADIANS(CSV_Import!D277))*((Auswertung!$C$7*100)/2-Auswertung!$C$8),3)</f>
        <v>0</v>
      </c>
      <c r="E279">
        <f>ROUND(TAN(RADIANS(CSV_Import!U277))*((Auswertung!$C$7/2)*100-Auswertung!$C$8),3)</f>
        <v>0</v>
      </c>
      <c r="F279">
        <f>ROUND(TAN(RADIANS(CSV_Import!B277))*((Auswertung!$C$7/2)*100-Auswertung!$C$8),3)</f>
        <v>0</v>
      </c>
      <c r="G279">
        <f>ROUND(TAN(RADIANS(CSV_Import!S277))*((Auswertung!$C$7/2)*100-Auswertung!$C$8),3)</f>
        <v>0</v>
      </c>
      <c r="H279">
        <f>ROUND(TAN(RADIANS(CSV_Import!E277))*((Auswertung!$C$7/2)*100-Auswertung!$C$8),3)</f>
        <v>0</v>
      </c>
      <c r="I279">
        <f>ROUND(TAN(RADIANS(CSV_Import!V277))*((Auswertung!$C$7/2)*100-Auswertung!$C$8),3)</f>
        <v>0</v>
      </c>
      <c r="K279">
        <f>(CSV_Import!$N$2-CSV_Import!N277)</f>
        <v>0</v>
      </c>
      <c r="L279">
        <f>(CSV_Import!$AE$2-CSV_Import!AE277)</f>
        <v>0</v>
      </c>
    </row>
    <row r="280" spans="2:12" x14ac:dyDescent="0.3">
      <c r="B280">
        <f>(CSV_Import!G278-CSV_Import!$G$2)/1000</f>
        <v>0</v>
      </c>
      <c r="D280">
        <f>ROUND(TAN(RADIANS(CSV_Import!D278))*((Auswertung!$C$7*100)/2-Auswertung!$C$8),3)</f>
        <v>0</v>
      </c>
      <c r="E280">
        <f>ROUND(TAN(RADIANS(CSV_Import!U278))*((Auswertung!$C$7/2)*100-Auswertung!$C$8),3)</f>
        <v>0</v>
      </c>
      <c r="F280">
        <f>ROUND(TAN(RADIANS(CSV_Import!B278))*((Auswertung!$C$7/2)*100-Auswertung!$C$8),3)</f>
        <v>0</v>
      </c>
      <c r="G280">
        <f>ROUND(TAN(RADIANS(CSV_Import!S278))*((Auswertung!$C$7/2)*100-Auswertung!$C$8),3)</f>
        <v>0</v>
      </c>
      <c r="H280">
        <f>ROUND(TAN(RADIANS(CSV_Import!E278))*((Auswertung!$C$7/2)*100-Auswertung!$C$8),3)</f>
        <v>0</v>
      </c>
      <c r="I280">
        <f>ROUND(TAN(RADIANS(CSV_Import!V278))*((Auswertung!$C$7/2)*100-Auswertung!$C$8),3)</f>
        <v>0</v>
      </c>
      <c r="K280">
        <f>(CSV_Import!$N$2-CSV_Import!N278)</f>
        <v>0</v>
      </c>
      <c r="L280">
        <f>(CSV_Import!$AE$2-CSV_Import!AE278)</f>
        <v>0</v>
      </c>
    </row>
    <row r="281" spans="2:12" x14ac:dyDescent="0.3">
      <c r="B281">
        <f>(CSV_Import!G279-CSV_Import!$G$2)/1000</f>
        <v>0</v>
      </c>
      <c r="D281">
        <f>ROUND(TAN(RADIANS(CSV_Import!D279))*((Auswertung!$C$7*100)/2-Auswertung!$C$8),3)</f>
        <v>0</v>
      </c>
      <c r="E281">
        <f>ROUND(TAN(RADIANS(CSV_Import!U279))*((Auswertung!$C$7/2)*100-Auswertung!$C$8),3)</f>
        <v>0</v>
      </c>
      <c r="F281">
        <f>ROUND(TAN(RADIANS(CSV_Import!B279))*((Auswertung!$C$7/2)*100-Auswertung!$C$8),3)</f>
        <v>0</v>
      </c>
      <c r="G281">
        <f>ROUND(TAN(RADIANS(CSV_Import!S279))*((Auswertung!$C$7/2)*100-Auswertung!$C$8),3)</f>
        <v>0</v>
      </c>
      <c r="H281">
        <f>ROUND(TAN(RADIANS(CSV_Import!E279))*((Auswertung!$C$7/2)*100-Auswertung!$C$8),3)</f>
        <v>0</v>
      </c>
      <c r="I281">
        <f>ROUND(TAN(RADIANS(CSV_Import!V279))*((Auswertung!$C$7/2)*100-Auswertung!$C$8),3)</f>
        <v>0</v>
      </c>
      <c r="K281">
        <f>(CSV_Import!$N$2-CSV_Import!N279)</f>
        <v>0</v>
      </c>
      <c r="L281">
        <f>(CSV_Import!$AE$2-CSV_Import!AE279)</f>
        <v>0</v>
      </c>
    </row>
    <row r="282" spans="2:12" x14ac:dyDescent="0.3">
      <c r="B282">
        <f>(CSV_Import!G280-CSV_Import!$G$2)/1000</f>
        <v>0</v>
      </c>
      <c r="D282">
        <f>ROUND(TAN(RADIANS(CSV_Import!D280))*((Auswertung!$C$7*100)/2-Auswertung!$C$8),3)</f>
        <v>0</v>
      </c>
      <c r="E282">
        <f>ROUND(TAN(RADIANS(CSV_Import!U280))*((Auswertung!$C$7/2)*100-Auswertung!$C$8),3)</f>
        <v>0</v>
      </c>
      <c r="F282">
        <f>ROUND(TAN(RADIANS(CSV_Import!B280))*((Auswertung!$C$7/2)*100-Auswertung!$C$8),3)</f>
        <v>0</v>
      </c>
      <c r="G282">
        <f>ROUND(TAN(RADIANS(CSV_Import!S280))*((Auswertung!$C$7/2)*100-Auswertung!$C$8),3)</f>
        <v>0</v>
      </c>
      <c r="H282">
        <f>ROUND(TAN(RADIANS(CSV_Import!E280))*((Auswertung!$C$7/2)*100-Auswertung!$C$8),3)</f>
        <v>0</v>
      </c>
      <c r="I282">
        <f>ROUND(TAN(RADIANS(CSV_Import!V280))*((Auswertung!$C$7/2)*100-Auswertung!$C$8),3)</f>
        <v>0</v>
      </c>
      <c r="K282">
        <f>(CSV_Import!$N$2-CSV_Import!N280)</f>
        <v>0</v>
      </c>
      <c r="L282">
        <f>(CSV_Import!$AE$2-CSV_Import!AE280)</f>
        <v>0</v>
      </c>
    </row>
    <row r="283" spans="2:12" x14ac:dyDescent="0.3">
      <c r="B283">
        <f>(CSV_Import!G281-CSV_Import!$G$2)/1000</f>
        <v>0</v>
      </c>
      <c r="D283">
        <f>ROUND(TAN(RADIANS(CSV_Import!D281))*((Auswertung!$C$7*100)/2-Auswertung!$C$8),3)</f>
        <v>0</v>
      </c>
      <c r="E283">
        <f>ROUND(TAN(RADIANS(CSV_Import!U281))*((Auswertung!$C$7/2)*100-Auswertung!$C$8),3)</f>
        <v>0</v>
      </c>
      <c r="F283">
        <f>ROUND(TAN(RADIANS(CSV_Import!B281))*((Auswertung!$C$7/2)*100-Auswertung!$C$8),3)</f>
        <v>0</v>
      </c>
      <c r="G283">
        <f>ROUND(TAN(RADIANS(CSV_Import!S281))*((Auswertung!$C$7/2)*100-Auswertung!$C$8),3)</f>
        <v>0</v>
      </c>
      <c r="H283">
        <f>ROUND(TAN(RADIANS(CSV_Import!E281))*((Auswertung!$C$7/2)*100-Auswertung!$C$8),3)</f>
        <v>0</v>
      </c>
      <c r="I283">
        <f>ROUND(TAN(RADIANS(CSV_Import!V281))*((Auswertung!$C$7/2)*100-Auswertung!$C$8),3)</f>
        <v>0</v>
      </c>
      <c r="K283">
        <f>(CSV_Import!$N$2-CSV_Import!N281)</f>
        <v>0</v>
      </c>
      <c r="L283">
        <f>(CSV_Import!$AE$2-CSV_Import!AE281)</f>
        <v>0</v>
      </c>
    </row>
    <row r="284" spans="2:12" x14ac:dyDescent="0.3">
      <c r="B284">
        <f>(CSV_Import!G282-CSV_Import!$G$2)/1000</f>
        <v>0</v>
      </c>
      <c r="D284">
        <f>ROUND(TAN(RADIANS(CSV_Import!D282))*((Auswertung!$C$7*100)/2-Auswertung!$C$8),3)</f>
        <v>0</v>
      </c>
      <c r="E284">
        <f>ROUND(TAN(RADIANS(CSV_Import!U282))*((Auswertung!$C$7/2)*100-Auswertung!$C$8),3)</f>
        <v>0</v>
      </c>
      <c r="F284">
        <f>ROUND(TAN(RADIANS(CSV_Import!B282))*((Auswertung!$C$7/2)*100-Auswertung!$C$8),3)</f>
        <v>0</v>
      </c>
      <c r="G284">
        <f>ROUND(TAN(RADIANS(CSV_Import!S282))*((Auswertung!$C$7/2)*100-Auswertung!$C$8),3)</f>
        <v>0</v>
      </c>
      <c r="H284">
        <f>ROUND(TAN(RADIANS(CSV_Import!E282))*((Auswertung!$C$7/2)*100-Auswertung!$C$8),3)</f>
        <v>0</v>
      </c>
      <c r="I284">
        <f>ROUND(TAN(RADIANS(CSV_Import!V282))*((Auswertung!$C$7/2)*100-Auswertung!$C$8),3)</f>
        <v>0</v>
      </c>
      <c r="K284">
        <f>(CSV_Import!$N$2-CSV_Import!N282)</f>
        <v>0</v>
      </c>
      <c r="L284">
        <f>(CSV_Import!$AE$2-CSV_Import!AE282)</f>
        <v>0</v>
      </c>
    </row>
    <row r="285" spans="2:12" x14ac:dyDescent="0.3">
      <c r="B285">
        <f>(CSV_Import!G283-CSV_Import!$G$2)/1000</f>
        <v>0</v>
      </c>
      <c r="D285">
        <f>ROUND(TAN(RADIANS(CSV_Import!D283))*((Auswertung!$C$7*100)/2-Auswertung!$C$8),3)</f>
        <v>0</v>
      </c>
      <c r="E285">
        <f>ROUND(TAN(RADIANS(CSV_Import!U283))*((Auswertung!$C$7/2)*100-Auswertung!$C$8),3)</f>
        <v>0</v>
      </c>
      <c r="F285">
        <f>ROUND(TAN(RADIANS(CSV_Import!B283))*((Auswertung!$C$7/2)*100-Auswertung!$C$8),3)</f>
        <v>0</v>
      </c>
      <c r="G285">
        <f>ROUND(TAN(RADIANS(CSV_Import!S283))*((Auswertung!$C$7/2)*100-Auswertung!$C$8),3)</f>
        <v>0</v>
      </c>
      <c r="H285">
        <f>ROUND(TAN(RADIANS(CSV_Import!E283))*((Auswertung!$C$7/2)*100-Auswertung!$C$8),3)</f>
        <v>0</v>
      </c>
      <c r="I285">
        <f>ROUND(TAN(RADIANS(CSV_Import!V283))*((Auswertung!$C$7/2)*100-Auswertung!$C$8),3)</f>
        <v>0</v>
      </c>
      <c r="K285">
        <f>(CSV_Import!$N$2-CSV_Import!N283)</f>
        <v>0</v>
      </c>
      <c r="L285">
        <f>(CSV_Import!$AE$2-CSV_Import!AE283)</f>
        <v>0</v>
      </c>
    </row>
    <row r="286" spans="2:12" x14ac:dyDescent="0.3">
      <c r="B286">
        <f>(CSV_Import!G284-CSV_Import!$G$2)/1000</f>
        <v>0</v>
      </c>
      <c r="D286">
        <f>ROUND(TAN(RADIANS(CSV_Import!D284))*((Auswertung!$C$7*100)/2-Auswertung!$C$8),3)</f>
        <v>0</v>
      </c>
      <c r="E286">
        <f>ROUND(TAN(RADIANS(CSV_Import!U284))*((Auswertung!$C$7/2)*100-Auswertung!$C$8),3)</f>
        <v>0</v>
      </c>
      <c r="F286">
        <f>ROUND(TAN(RADIANS(CSV_Import!B284))*((Auswertung!$C$7/2)*100-Auswertung!$C$8),3)</f>
        <v>0</v>
      </c>
      <c r="G286">
        <f>ROUND(TAN(RADIANS(CSV_Import!S284))*((Auswertung!$C$7/2)*100-Auswertung!$C$8),3)</f>
        <v>0</v>
      </c>
      <c r="H286">
        <f>ROUND(TAN(RADIANS(CSV_Import!E284))*((Auswertung!$C$7/2)*100-Auswertung!$C$8),3)</f>
        <v>0</v>
      </c>
      <c r="I286">
        <f>ROUND(TAN(RADIANS(CSV_Import!V284))*((Auswertung!$C$7/2)*100-Auswertung!$C$8),3)</f>
        <v>0</v>
      </c>
      <c r="K286">
        <f>(CSV_Import!$N$2-CSV_Import!N284)</f>
        <v>0</v>
      </c>
      <c r="L286">
        <f>(CSV_Import!$AE$2-CSV_Import!AE284)</f>
        <v>0</v>
      </c>
    </row>
    <row r="287" spans="2:12" x14ac:dyDescent="0.3">
      <c r="B287">
        <f>(CSV_Import!G285-CSV_Import!$G$2)/1000</f>
        <v>0</v>
      </c>
      <c r="D287">
        <f>ROUND(TAN(RADIANS(CSV_Import!D285))*((Auswertung!$C$7*100)/2-Auswertung!$C$8),3)</f>
        <v>0</v>
      </c>
      <c r="E287">
        <f>ROUND(TAN(RADIANS(CSV_Import!U285))*((Auswertung!$C$7/2)*100-Auswertung!$C$8),3)</f>
        <v>0</v>
      </c>
      <c r="F287">
        <f>ROUND(TAN(RADIANS(CSV_Import!B285))*((Auswertung!$C$7/2)*100-Auswertung!$C$8),3)</f>
        <v>0</v>
      </c>
      <c r="G287">
        <f>ROUND(TAN(RADIANS(CSV_Import!S285))*((Auswertung!$C$7/2)*100-Auswertung!$C$8),3)</f>
        <v>0</v>
      </c>
      <c r="H287">
        <f>ROUND(TAN(RADIANS(CSV_Import!E285))*((Auswertung!$C$7/2)*100-Auswertung!$C$8),3)</f>
        <v>0</v>
      </c>
      <c r="I287">
        <f>ROUND(TAN(RADIANS(CSV_Import!V285))*((Auswertung!$C$7/2)*100-Auswertung!$C$8),3)</f>
        <v>0</v>
      </c>
      <c r="K287">
        <f>(CSV_Import!$N$2-CSV_Import!N285)</f>
        <v>0</v>
      </c>
      <c r="L287">
        <f>(CSV_Import!$AE$2-CSV_Import!AE285)</f>
        <v>0</v>
      </c>
    </row>
    <row r="288" spans="2:12" x14ac:dyDescent="0.3">
      <c r="B288">
        <f>(CSV_Import!G286-CSV_Import!$G$2)/1000</f>
        <v>0</v>
      </c>
      <c r="D288">
        <f>ROUND(TAN(RADIANS(CSV_Import!D286))*((Auswertung!$C$7*100)/2-Auswertung!$C$8),3)</f>
        <v>0</v>
      </c>
      <c r="E288">
        <f>ROUND(TAN(RADIANS(CSV_Import!U286))*((Auswertung!$C$7/2)*100-Auswertung!$C$8),3)</f>
        <v>0</v>
      </c>
      <c r="F288">
        <f>ROUND(TAN(RADIANS(CSV_Import!B286))*((Auswertung!$C$7/2)*100-Auswertung!$C$8),3)</f>
        <v>0</v>
      </c>
      <c r="G288">
        <f>ROUND(TAN(RADIANS(CSV_Import!S286))*((Auswertung!$C$7/2)*100-Auswertung!$C$8),3)</f>
        <v>0</v>
      </c>
      <c r="H288">
        <f>ROUND(TAN(RADIANS(CSV_Import!E286))*((Auswertung!$C$7/2)*100-Auswertung!$C$8),3)</f>
        <v>0</v>
      </c>
      <c r="I288">
        <f>ROUND(TAN(RADIANS(CSV_Import!V286))*((Auswertung!$C$7/2)*100-Auswertung!$C$8),3)</f>
        <v>0</v>
      </c>
      <c r="K288">
        <f>(CSV_Import!$N$2-CSV_Import!N286)</f>
        <v>0</v>
      </c>
      <c r="L288">
        <f>(CSV_Import!$AE$2-CSV_Import!AE286)</f>
        <v>0</v>
      </c>
    </row>
    <row r="289" spans="2:12" x14ac:dyDescent="0.3">
      <c r="B289">
        <f>(CSV_Import!G287-CSV_Import!$G$2)/1000</f>
        <v>0</v>
      </c>
      <c r="D289">
        <f>ROUND(TAN(RADIANS(CSV_Import!D287))*((Auswertung!$C$7*100)/2-Auswertung!$C$8),3)</f>
        <v>0</v>
      </c>
      <c r="E289">
        <f>ROUND(TAN(RADIANS(CSV_Import!U287))*((Auswertung!$C$7/2)*100-Auswertung!$C$8),3)</f>
        <v>0</v>
      </c>
      <c r="F289">
        <f>ROUND(TAN(RADIANS(CSV_Import!B287))*((Auswertung!$C$7/2)*100-Auswertung!$C$8),3)</f>
        <v>0</v>
      </c>
      <c r="G289">
        <f>ROUND(TAN(RADIANS(CSV_Import!S287))*((Auswertung!$C$7/2)*100-Auswertung!$C$8),3)</f>
        <v>0</v>
      </c>
      <c r="H289">
        <f>ROUND(TAN(RADIANS(CSV_Import!E287))*((Auswertung!$C$7/2)*100-Auswertung!$C$8),3)</f>
        <v>0</v>
      </c>
      <c r="I289">
        <f>ROUND(TAN(RADIANS(CSV_Import!V287))*((Auswertung!$C$7/2)*100-Auswertung!$C$8),3)</f>
        <v>0</v>
      </c>
      <c r="K289">
        <f>(CSV_Import!$N$2-CSV_Import!N287)</f>
        <v>0</v>
      </c>
      <c r="L289">
        <f>(CSV_Import!$AE$2-CSV_Import!AE287)</f>
        <v>0</v>
      </c>
    </row>
    <row r="290" spans="2:12" x14ac:dyDescent="0.3">
      <c r="B290">
        <f>(CSV_Import!G288-CSV_Import!$G$2)/1000</f>
        <v>0</v>
      </c>
      <c r="D290">
        <f>ROUND(TAN(RADIANS(CSV_Import!D288))*((Auswertung!$C$7*100)/2-Auswertung!$C$8),3)</f>
        <v>0</v>
      </c>
      <c r="E290">
        <f>ROUND(TAN(RADIANS(CSV_Import!U288))*((Auswertung!$C$7/2)*100-Auswertung!$C$8),3)</f>
        <v>0</v>
      </c>
      <c r="F290">
        <f>ROUND(TAN(RADIANS(CSV_Import!B288))*((Auswertung!$C$7/2)*100-Auswertung!$C$8),3)</f>
        <v>0</v>
      </c>
      <c r="G290">
        <f>ROUND(TAN(RADIANS(CSV_Import!S288))*((Auswertung!$C$7/2)*100-Auswertung!$C$8),3)</f>
        <v>0</v>
      </c>
      <c r="H290">
        <f>ROUND(TAN(RADIANS(CSV_Import!E288))*((Auswertung!$C$7/2)*100-Auswertung!$C$8),3)</f>
        <v>0</v>
      </c>
      <c r="I290">
        <f>ROUND(TAN(RADIANS(CSV_Import!V288))*((Auswertung!$C$7/2)*100-Auswertung!$C$8),3)</f>
        <v>0</v>
      </c>
      <c r="K290">
        <f>(CSV_Import!$N$2-CSV_Import!N288)</f>
        <v>0</v>
      </c>
      <c r="L290">
        <f>(CSV_Import!$AE$2-CSV_Import!AE288)</f>
        <v>0</v>
      </c>
    </row>
    <row r="291" spans="2:12" x14ac:dyDescent="0.3">
      <c r="B291">
        <f>(CSV_Import!G289-CSV_Import!$G$2)/1000</f>
        <v>0</v>
      </c>
      <c r="D291">
        <f>ROUND(TAN(RADIANS(CSV_Import!D289))*((Auswertung!$C$7*100)/2-Auswertung!$C$8),3)</f>
        <v>0</v>
      </c>
      <c r="E291">
        <f>ROUND(TAN(RADIANS(CSV_Import!U289))*((Auswertung!$C$7/2)*100-Auswertung!$C$8),3)</f>
        <v>0</v>
      </c>
      <c r="F291">
        <f>ROUND(TAN(RADIANS(CSV_Import!B289))*((Auswertung!$C$7/2)*100-Auswertung!$C$8),3)</f>
        <v>0</v>
      </c>
      <c r="G291">
        <f>ROUND(TAN(RADIANS(CSV_Import!S289))*((Auswertung!$C$7/2)*100-Auswertung!$C$8),3)</f>
        <v>0</v>
      </c>
      <c r="H291">
        <f>ROUND(TAN(RADIANS(CSV_Import!E289))*((Auswertung!$C$7/2)*100-Auswertung!$C$8),3)</f>
        <v>0</v>
      </c>
      <c r="I291">
        <f>ROUND(TAN(RADIANS(CSV_Import!V289))*((Auswertung!$C$7/2)*100-Auswertung!$C$8),3)</f>
        <v>0</v>
      </c>
      <c r="K291">
        <f>(CSV_Import!$N$2-CSV_Import!N289)</f>
        <v>0</v>
      </c>
      <c r="L291">
        <f>(CSV_Import!$AE$2-CSV_Import!AE289)</f>
        <v>0</v>
      </c>
    </row>
    <row r="292" spans="2:12" x14ac:dyDescent="0.3">
      <c r="B292">
        <f>(CSV_Import!G290-CSV_Import!$G$2)/1000</f>
        <v>0</v>
      </c>
      <c r="D292">
        <f>ROUND(TAN(RADIANS(CSV_Import!D290))*((Auswertung!$C$7*100)/2-Auswertung!$C$8),3)</f>
        <v>0</v>
      </c>
      <c r="E292">
        <f>ROUND(TAN(RADIANS(CSV_Import!U290))*((Auswertung!$C$7/2)*100-Auswertung!$C$8),3)</f>
        <v>0</v>
      </c>
      <c r="F292">
        <f>ROUND(TAN(RADIANS(CSV_Import!B290))*((Auswertung!$C$7/2)*100-Auswertung!$C$8),3)</f>
        <v>0</v>
      </c>
      <c r="G292">
        <f>ROUND(TAN(RADIANS(CSV_Import!S290))*((Auswertung!$C$7/2)*100-Auswertung!$C$8),3)</f>
        <v>0</v>
      </c>
      <c r="H292">
        <f>ROUND(TAN(RADIANS(CSV_Import!E290))*((Auswertung!$C$7/2)*100-Auswertung!$C$8),3)</f>
        <v>0</v>
      </c>
      <c r="I292">
        <f>ROUND(TAN(RADIANS(CSV_Import!V290))*((Auswertung!$C$7/2)*100-Auswertung!$C$8),3)</f>
        <v>0</v>
      </c>
      <c r="K292">
        <f>(CSV_Import!$N$2-CSV_Import!N290)</f>
        <v>0</v>
      </c>
      <c r="L292">
        <f>(CSV_Import!$AE$2-CSV_Import!AE290)</f>
        <v>0</v>
      </c>
    </row>
    <row r="293" spans="2:12" x14ac:dyDescent="0.3">
      <c r="B293">
        <f>(CSV_Import!G291-CSV_Import!$G$2)/1000</f>
        <v>0</v>
      </c>
      <c r="D293">
        <f>ROUND(TAN(RADIANS(CSV_Import!D291))*((Auswertung!$C$7*100)/2-Auswertung!$C$8),3)</f>
        <v>0</v>
      </c>
      <c r="E293">
        <f>ROUND(TAN(RADIANS(CSV_Import!U291))*((Auswertung!$C$7/2)*100-Auswertung!$C$8),3)</f>
        <v>0</v>
      </c>
      <c r="F293">
        <f>ROUND(TAN(RADIANS(CSV_Import!B291))*((Auswertung!$C$7/2)*100-Auswertung!$C$8),3)</f>
        <v>0</v>
      </c>
      <c r="G293">
        <f>ROUND(TAN(RADIANS(CSV_Import!S291))*((Auswertung!$C$7/2)*100-Auswertung!$C$8),3)</f>
        <v>0</v>
      </c>
      <c r="H293">
        <f>ROUND(TAN(RADIANS(CSV_Import!E291))*((Auswertung!$C$7/2)*100-Auswertung!$C$8),3)</f>
        <v>0</v>
      </c>
      <c r="I293">
        <f>ROUND(TAN(RADIANS(CSV_Import!V291))*((Auswertung!$C$7/2)*100-Auswertung!$C$8),3)</f>
        <v>0</v>
      </c>
      <c r="K293">
        <f>(CSV_Import!$N$2-CSV_Import!N291)</f>
        <v>0</v>
      </c>
      <c r="L293">
        <f>(CSV_Import!$AE$2-CSV_Import!AE291)</f>
        <v>0</v>
      </c>
    </row>
    <row r="294" spans="2:12" x14ac:dyDescent="0.3">
      <c r="B294">
        <f>(CSV_Import!G292-CSV_Import!$G$2)/1000</f>
        <v>0</v>
      </c>
      <c r="D294">
        <f>ROUND(TAN(RADIANS(CSV_Import!D292))*((Auswertung!$C$7*100)/2-Auswertung!$C$8),3)</f>
        <v>0</v>
      </c>
      <c r="E294">
        <f>ROUND(TAN(RADIANS(CSV_Import!U292))*((Auswertung!$C$7/2)*100-Auswertung!$C$8),3)</f>
        <v>0</v>
      </c>
      <c r="F294">
        <f>ROUND(TAN(RADIANS(CSV_Import!B292))*((Auswertung!$C$7/2)*100-Auswertung!$C$8),3)</f>
        <v>0</v>
      </c>
      <c r="G294">
        <f>ROUND(TAN(RADIANS(CSV_Import!S292))*((Auswertung!$C$7/2)*100-Auswertung!$C$8),3)</f>
        <v>0</v>
      </c>
      <c r="H294">
        <f>ROUND(TAN(RADIANS(CSV_Import!E292))*((Auswertung!$C$7/2)*100-Auswertung!$C$8),3)</f>
        <v>0</v>
      </c>
      <c r="I294">
        <f>ROUND(TAN(RADIANS(CSV_Import!V292))*((Auswertung!$C$7/2)*100-Auswertung!$C$8),3)</f>
        <v>0</v>
      </c>
      <c r="K294">
        <f>(CSV_Import!$N$2-CSV_Import!N292)</f>
        <v>0</v>
      </c>
      <c r="L294">
        <f>(CSV_Import!$AE$2-CSV_Import!AE292)</f>
        <v>0</v>
      </c>
    </row>
    <row r="295" spans="2:12" x14ac:dyDescent="0.3">
      <c r="B295">
        <f>(CSV_Import!G293-CSV_Import!$G$2)/1000</f>
        <v>0</v>
      </c>
      <c r="D295">
        <f>ROUND(TAN(RADIANS(CSV_Import!D293))*((Auswertung!$C$7*100)/2-Auswertung!$C$8),3)</f>
        <v>0</v>
      </c>
      <c r="E295">
        <f>ROUND(TAN(RADIANS(CSV_Import!U293))*((Auswertung!$C$7/2)*100-Auswertung!$C$8),3)</f>
        <v>0</v>
      </c>
      <c r="F295">
        <f>ROUND(TAN(RADIANS(CSV_Import!B293))*((Auswertung!$C$7/2)*100-Auswertung!$C$8),3)</f>
        <v>0</v>
      </c>
      <c r="G295">
        <f>ROUND(TAN(RADIANS(CSV_Import!S293))*((Auswertung!$C$7/2)*100-Auswertung!$C$8),3)</f>
        <v>0</v>
      </c>
      <c r="H295">
        <f>ROUND(TAN(RADIANS(CSV_Import!E293))*((Auswertung!$C$7/2)*100-Auswertung!$C$8),3)</f>
        <v>0</v>
      </c>
      <c r="I295">
        <f>ROUND(TAN(RADIANS(CSV_Import!V293))*((Auswertung!$C$7/2)*100-Auswertung!$C$8),3)</f>
        <v>0</v>
      </c>
      <c r="K295">
        <f>(CSV_Import!$N$2-CSV_Import!N293)</f>
        <v>0</v>
      </c>
      <c r="L295">
        <f>(CSV_Import!$AE$2-CSV_Import!AE293)</f>
        <v>0</v>
      </c>
    </row>
    <row r="296" spans="2:12" x14ac:dyDescent="0.3">
      <c r="B296">
        <f>(CSV_Import!G294-CSV_Import!$G$2)/1000</f>
        <v>0</v>
      </c>
      <c r="D296">
        <f>ROUND(TAN(RADIANS(CSV_Import!D294))*((Auswertung!$C$7*100)/2-Auswertung!$C$8),3)</f>
        <v>0</v>
      </c>
      <c r="E296">
        <f>ROUND(TAN(RADIANS(CSV_Import!U294))*((Auswertung!$C$7/2)*100-Auswertung!$C$8),3)</f>
        <v>0</v>
      </c>
      <c r="F296">
        <f>ROUND(TAN(RADIANS(CSV_Import!B294))*((Auswertung!$C$7/2)*100-Auswertung!$C$8),3)</f>
        <v>0</v>
      </c>
      <c r="G296">
        <f>ROUND(TAN(RADIANS(CSV_Import!S294))*((Auswertung!$C$7/2)*100-Auswertung!$C$8),3)</f>
        <v>0</v>
      </c>
      <c r="H296">
        <f>ROUND(TAN(RADIANS(CSV_Import!E294))*((Auswertung!$C$7/2)*100-Auswertung!$C$8),3)</f>
        <v>0</v>
      </c>
      <c r="I296">
        <f>ROUND(TAN(RADIANS(CSV_Import!V294))*((Auswertung!$C$7/2)*100-Auswertung!$C$8),3)</f>
        <v>0</v>
      </c>
      <c r="K296">
        <f>(CSV_Import!$N$2-CSV_Import!N294)</f>
        <v>0</v>
      </c>
      <c r="L296">
        <f>(CSV_Import!$AE$2-CSV_Import!AE294)</f>
        <v>0</v>
      </c>
    </row>
    <row r="297" spans="2:12" x14ac:dyDescent="0.3">
      <c r="B297">
        <f>(CSV_Import!G295-CSV_Import!$G$2)/1000</f>
        <v>0</v>
      </c>
      <c r="D297">
        <f>ROUND(TAN(RADIANS(CSV_Import!D295))*((Auswertung!$C$7*100)/2-Auswertung!$C$8),3)</f>
        <v>0</v>
      </c>
      <c r="E297">
        <f>ROUND(TAN(RADIANS(CSV_Import!U295))*((Auswertung!$C$7/2)*100-Auswertung!$C$8),3)</f>
        <v>0</v>
      </c>
      <c r="F297">
        <f>ROUND(TAN(RADIANS(CSV_Import!B295))*((Auswertung!$C$7/2)*100-Auswertung!$C$8),3)</f>
        <v>0</v>
      </c>
      <c r="G297">
        <f>ROUND(TAN(RADIANS(CSV_Import!S295))*((Auswertung!$C$7/2)*100-Auswertung!$C$8),3)</f>
        <v>0</v>
      </c>
      <c r="H297">
        <f>ROUND(TAN(RADIANS(CSV_Import!E295))*((Auswertung!$C$7/2)*100-Auswertung!$C$8),3)</f>
        <v>0</v>
      </c>
      <c r="I297">
        <f>ROUND(TAN(RADIANS(CSV_Import!V295))*((Auswertung!$C$7/2)*100-Auswertung!$C$8),3)</f>
        <v>0</v>
      </c>
      <c r="K297">
        <f>(CSV_Import!$N$2-CSV_Import!N295)</f>
        <v>0</v>
      </c>
      <c r="L297">
        <f>(CSV_Import!$AE$2-CSV_Import!AE295)</f>
        <v>0</v>
      </c>
    </row>
    <row r="298" spans="2:12" x14ac:dyDescent="0.3">
      <c r="B298">
        <f>(CSV_Import!G296-CSV_Import!$G$2)/1000</f>
        <v>0</v>
      </c>
      <c r="D298">
        <f>ROUND(TAN(RADIANS(CSV_Import!D296))*((Auswertung!$C$7*100)/2-Auswertung!$C$8),3)</f>
        <v>0</v>
      </c>
      <c r="E298">
        <f>ROUND(TAN(RADIANS(CSV_Import!U296))*((Auswertung!$C$7/2)*100-Auswertung!$C$8),3)</f>
        <v>0</v>
      </c>
      <c r="F298">
        <f>ROUND(TAN(RADIANS(CSV_Import!B296))*((Auswertung!$C$7/2)*100-Auswertung!$C$8),3)</f>
        <v>0</v>
      </c>
      <c r="G298">
        <f>ROUND(TAN(RADIANS(CSV_Import!S296))*((Auswertung!$C$7/2)*100-Auswertung!$C$8),3)</f>
        <v>0</v>
      </c>
      <c r="H298">
        <f>ROUND(TAN(RADIANS(CSV_Import!E296))*((Auswertung!$C$7/2)*100-Auswertung!$C$8),3)</f>
        <v>0</v>
      </c>
      <c r="I298">
        <f>ROUND(TAN(RADIANS(CSV_Import!V296))*((Auswertung!$C$7/2)*100-Auswertung!$C$8),3)</f>
        <v>0</v>
      </c>
      <c r="K298">
        <f>(CSV_Import!$N$2-CSV_Import!N296)</f>
        <v>0</v>
      </c>
      <c r="L298">
        <f>(CSV_Import!$AE$2-CSV_Import!AE296)</f>
        <v>0</v>
      </c>
    </row>
    <row r="299" spans="2:12" x14ac:dyDescent="0.3">
      <c r="B299">
        <f>(CSV_Import!G297-CSV_Import!$G$2)/1000</f>
        <v>0</v>
      </c>
      <c r="D299">
        <f>ROUND(TAN(RADIANS(CSV_Import!D297))*((Auswertung!$C$7*100)/2-Auswertung!$C$8),3)</f>
        <v>0</v>
      </c>
      <c r="E299">
        <f>ROUND(TAN(RADIANS(CSV_Import!U297))*((Auswertung!$C$7/2)*100-Auswertung!$C$8),3)</f>
        <v>0</v>
      </c>
      <c r="F299">
        <f>ROUND(TAN(RADIANS(CSV_Import!B297))*((Auswertung!$C$7/2)*100-Auswertung!$C$8),3)</f>
        <v>0</v>
      </c>
      <c r="G299">
        <f>ROUND(TAN(RADIANS(CSV_Import!S297))*((Auswertung!$C$7/2)*100-Auswertung!$C$8),3)</f>
        <v>0</v>
      </c>
      <c r="H299">
        <f>ROUND(TAN(RADIANS(CSV_Import!E297))*((Auswertung!$C$7/2)*100-Auswertung!$C$8),3)</f>
        <v>0</v>
      </c>
      <c r="I299">
        <f>ROUND(TAN(RADIANS(CSV_Import!V297))*((Auswertung!$C$7/2)*100-Auswertung!$C$8),3)</f>
        <v>0</v>
      </c>
      <c r="K299">
        <f>(CSV_Import!$N$2-CSV_Import!N297)</f>
        <v>0</v>
      </c>
      <c r="L299">
        <f>(CSV_Import!$AE$2-CSV_Import!AE297)</f>
        <v>0</v>
      </c>
    </row>
    <row r="300" spans="2:12" x14ac:dyDescent="0.3">
      <c r="B300">
        <f>(CSV_Import!G298-CSV_Import!$G$2)/1000</f>
        <v>0</v>
      </c>
      <c r="D300">
        <f>ROUND(TAN(RADIANS(CSV_Import!D298))*((Auswertung!$C$7*100)/2-Auswertung!$C$8),3)</f>
        <v>0</v>
      </c>
      <c r="E300">
        <f>ROUND(TAN(RADIANS(CSV_Import!U298))*((Auswertung!$C$7/2)*100-Auswertung!$C$8),3)</f>
        <v>0</v>
      </c>
      <c r="F300">
        <f>ROUND(TAN(RADIANS(CSV_Import!B298))*((Auswertung!$C$7/2)*100-Auswertung!$C$8),3)</f>
        <v>0</v>
      </c>
      <c r="G300">
        <f>ROUND(TAN(RADIANS(CSV_Import!S298))*((Auswertung!$C$7/2)*100-Auswertung!$C$8),3)</f>
        <v>0</v>
      </c>
      <c r="H300">
        <f>ROUND(TAN(RADIANS(CSV_Import!E298))*((Auswertung!$C$7/2)*100-Auswertung!$C$8),3)</f>
        <v>0</v>
      </c>
      <c r="I300">
        <f>ROUND(TAN(RADIANS(CSV_Import!V298))*((Auswertung!$C$7/2)*100-Auswertung!$C$8),3)</f>
        <v>0</v>
      </c>
      <c r="K300">
        <f>(CSV_Import!$N$2-CSV_Import!N298)</f>
        <v>0</v>
      </c>
      <c r="L300">
        <f>(CSV_Import!$AE$2-CSV_Import!AE298)</f>
        <v>0</v>
      </c>
    </row>
    <row r="301" spans="2:12" x14ac:dyDescent="0.3">
      <c r="B301">
        <f>(CSV_Import!G299-CSV_Import!$G$2)/1000</f>
        <v>0</v>
      </c>
      <c r="D301">
        <f>ROUND(TAN(RADIANS(CSV_Import!D299))*((Auswertung!$C$7*100)/2-Auswertung!$C$8),3)</f>
        <v>0</v>
      </c>
      <c r="E301">
        <f>ROUND(TAN(RADIANS(CSV_Import!U299))*((Auswertung!$C$7/2)*100-Auswertung!$C$8),3)</f>
        <v>0</v>
      </c>
      <c r="F301">
        <f>ROUND(TAN(RADIANS(CSV_Import!B299))*((Auswertung!$C$7/2)*100-Auswertung!$C$8),3)</f>
        <v>0</v>
      </c>
      <c r="G301">
        <f>ROUND(TAN(RADIANS(CSV_Import!S299))*((Auswertung!$C$7/2)*100-Auswertung!$C$8),3)</f>
        <v>0</v>
      </c>
      <c r="H301">
        <f>ROUND(TAN(RADIANS(CSV_Import!E299))*((Auswertung!$C$7/2)*100-Auswertung!$C$8),3)</f>
        <v>0</v>
      </c>
      <c r="I301">
        <f>ROUND(TAN(RADIANS(CSV_Import!V299))*((Auswertung!$C$7/2)*100-Auswertung!$C$8),3)</f>
        <v>0</v>
      </c>
      <c r="K301">
        <f>(CSV_Import!$N$2-CSV_Import!N299)</f>
        <v>0</v>
      </c>
      <c r="L301">
        <f>(CSV_Import!$AE$2-CSV_Import!AE299)</f>
        <v>0</v>
      </c>
    </row>
    <row r="302" spans="2:12" x14ac:dyDescent="0.3">
      <c r="B302">
        <f>(CSV_Import!G300-CSV_Import!$G$2)/1000</f>
        <v>0</v>
      </c>
      <c r="D302">
        <f>ROUND(TAN(RADIANS(CSV_Import!D300))*((Auswertung!$C$7*100)/2-Auswertung!$C$8),3)</f>
        <v>0</v>
      </c>
      <c r="E302">
        <f>ROUND(TAN(RADIANS(CSV_Import!U300))*((Auswertung!$C$7/2)*100-Auswertung!$C$8),3)</f>
        <v>0</v>
      </c>
      <c r="F302">
        <f>ROUND(TAN(RADIANS(CSV_Import!B300))*((Auswertung!$C$7/2)*100-Auswertung!$C$8),3)</f>
        <v>0</v>
      </c>
      <c r="G302">
        <f>ROUND(TAN(RADIANS(CSV_Import!S300))*((Auswertung!$C$7/2)*100-Auswertung!$C$8),3)</f>
        <v>0</v>
      </c>
      <c r="H302">
        <f>ROUND(TAN(RADIANS(CSV_Import!E300))*((Auswertung!$C$7/2)*100-Auswertung!$C$8),3)</f>
        <v>0</v>
      </c>
      <c r="I302">
        <f>ROUND(TAN(RADIANS(CSV_Import!V300))*((Auswertung!$C$7/2)*100-Auswertung!$C$8),3)</f>
        <v>0</v>
      </c>
      <c r="K302">
        <f>(CSV_Import!$N$2-CSV_Import!N300)</f>
        <v>0</v>
      </c>
      <c r="L302">
        <f>(CSV_Import!$AE$2-CSV_Import!AE300)</f>
        <v>0</v>
      </c>
    </row>
    <row r="303" spans="2:12" x14ac:dyDescent="0.3">
      <c r="B303">
        <f>(CSV_Import!G301-CSV_Import!$G$2)/1000</f>
        <v>0</v>
      </c>
      <c r="D303">
        <f>ROUND(TAN(RADIANS(CSV_Import!D301))*((Auswertung!$C$7*100)/2-Auswertung!$C$8),3)</f>
        <v>0</v>
      </c>
      <c r="E303">
        <f>ROUND(TAN(RADIANS(CSV_Import!U301))*((Auswertung!$C$7/2)*100-Auswertung!$C$8),3)</f>
        <v>0</v>
      </c>
      <c r="F303">
        <f>ROUND(TAN(RADIANS(CSV_Import!B301))*((Auswertung!$C$7/2)*100-Auswertung!$C$8),3)</f>
        <v>0</v>
      </c>
      <c r="G303">
        <f>ROUND(TAN(RADIANS(CSV_Import!S301))*((Auswertung!$C$7/2)*100-Auswertung!$C$8),3)</f>
        <v>0</v>
      </c>
      <c r="H303">
        <f>ROUND(TAN(RADIANS(CSV_Import!E301))*((Auswertung!$C$7/2)*100-Auswertung!$C$8),3)</f>
        <v>0</v>
      </c>
      <c r="I303">
        <f>ROUND(TAN(RADIANS(CSV_Import!V301))*((Auswertung!$C$7/2)*100-Auswertung!$C$8),3)</f>
        <v>0</v>
      </c>
      <c r="K303">
        <f>(CSV_Import!$N$2-CSV_Import!N301)</f>
        <v>0</v>
      </c>
      <c r="L303">
        <f>(CSV_Import!$AE$2-CSV_Import!AE301)</f>
        <v>0</v>
      </c>
    </row>
    <row r="304" spans="2:12" x14ac:dyDescent="0.3">
      <c r="B304">
        <f>(CSV_Import!G302-CSV_Import!$G$2)/1000</f>
        <v>0</v>
      </c>
      <c r="D304">
        <f>ROUND(TAN(RADIANS(CSV_Import!D302))*((Auswertung!$C$7*100)/2-Auswertung!$C$8),3)</f>
        <v>0</v>
      </c>
      <c r="E304">
        <f>ROUND(TAN(RADIANS(CSV_Import!U302))*((Auswertung!$C$7/2)*100-Auswertung!$C$8),3)</f>
        <v>0</v>
      </c>
      <c r="F304">
        <f>ROUND(TAN(RADIANS(CSV_Import!B302))*((Auswertung!$C$7/2)*100-Auswertung!$C$8),3)</f>
        <v>0</v>
      </c>
      <c r="G304">
        <f>ROUND(TAN(RADIANS(CSV_Import!S302))*((Auswertung!$C$7/2)*100-Auswertung!$C$8),3)</f>
        <v>0</v>
      </c>
      <c r="H304">
        <f>ROUND(TAN(RADIANS(CSV_Import!E302))*((Auswertung!$C$7/2)*100-Auswertung!$C$8),3)</f>
        <v>0</v>
      </c>
      <c r="I304">
        <f>ROUND(TAN(RADIANS(CSV_Import!V302))*((Auswertung!$C$7/2)*100-Auswertung!$C$8),3)</f>
        <v>0</v>
      </c>
      <c r="K304">
        <f>(CSV_Import!$N$2-CSV_Import!N302)</f>
        <v>0</v>
      </c>
      <c r="L304">
        <f>(CSV_Import!$AE$2-CSV_Import!AE302)</f>
        <v>0</v>
      </c>
    </row>
    <row r="305" spans="2:12" x14ac:dyDescent="0.3">
      <c r="B305">
        <f>(CSV_Import!G303-CSV_Import!$G$2)/1000</f>
        <v>0</v>
      </c>
      <c r="D305">
        <f>ROUND(TAN(RADIANS(CSV_Import!D303))*((Auswertung!$C$7*100)/2-Auswertung!$C$8),3)</f>
        <v>0</v>
      </c>
      <c r="E305">
        <f>ROUND(TAN(RADIANS(CSV_Import!U303))*((Auswertung!$C$7/2)*100-Auswertung!$C$8),3)</f>
        <v>0</v>
      </c>
      <c r="F305">
        <f>ROUND(TAN(RADIANS(CSV_Import!B303))*((Auswertung!$C$7/2)*100-Auswertung!$C$8),3)</f>
        <v>0</v>
      </c>
      <c r="G305">
        <f>ROUND(TAN(RADIANS(CSV_Import!S303))*((Auswertung!$C$7/2)*100-Auswertung!$C$8),3)</f>
        <v>0</v>
      </c>
      <c r="H305">
        <f>ROUND(TAN(RADIANS(CSV_Import!E303))*((Auswertung!$C$7/2)*100-Auswertung!$C$8),3)</f>
        <v>0</v>
      </c>
      <c r="I305">
        <f>ROUND(TAN(RADIANS(CSV_Import!V303))*((Auswertung!$C$7/2)*100-Auswertung!$C$8),3)</f>
        <v>0</v>
      </c>
      <c r="K305">
        <f>(CSV_Import!$N$2-CSV_Import!N303)</f>
        <v>0</v>
      </c>
      <c r="L305">
        <f>(CSV_Import!$AE$2-CSV_Import!AE303)</f>
        <v>0</v>
      </c>
    </row>
    <row r="306" spans="2:12" x14ac:dyDescent="0.3">
      <c r="B306">
        <f>(CSV_Import!G304-CSV_Import!$G$2)/1000</f>
        <v>0</v>
      </c>
      <c r="D306">
        <f>ROUND(TAN(RADIANS(CSV_Import!D304))*((Auswertung!$C$7*100)/2-Auswertung!$C$8),3)</f>
        <v>0</v>
      </c>
      <c r="E306">
        <f>ROUND(TAN(RADIANS(CSV_Import!U304))*((Auswertung!$C$7/2)*100-Auswertung!$C$8),3)</f>
        <v>0</v>
      </c>
      <c r="F306">
        <f>ROUND(TAN(RADIANS(CSV_Import!B304))*((Auswertung!$C$7/2)*100-Auswertung!$C$8),3)</f>
        <v>0</v>
      </c>
      <c r="G306">
        <f>ROUND(TAN(RADIANS(CSV_Import!S304))*((Auswertung!$C$7/2)*100-Auswertung!$C$8),3)</f>
        <v>0</v>
      </c>
      <c r="H306">
        <f>ROUND(TAN(RADIANS(CSV_Import!E304))*((Auswertung!$C$7/2)*100-Auswertung!$C$8),3)</f>
        <v>0</v>
      </c>
      <c r="I306">
        <f>ROUND(TAN(RADIANS(CSV_Import!V304))*((Auswertung!$C$7/2)*100-Auswertung!$C$8),3)</f>
        <v>0</v>
      </c>
      <c r="K306">
        <f>(CSV_Import!$N$2-CSV_Import!N304)</f>
        <v>0</v>
      </c>
      <c r="L306">
        <f>(CSV_Import!$AE$2-CSV_Import!AE304)</f>
        <v>0</v>
      </c>
    </row>
    <row r="307" spans="2:12" x14ac:dyDescent="0.3">
      <c r="B307">
        <f>(CSV_Import!G305-CSV_Import!$G$2)/1000</f>
        <v>0</v>
      </c>
      <c r="D307">
        <f>ROUND(TAN(RADIANS(CSV_Import!D305))*((Auswertung!$C$7*100)/2-Auswertung!$C$8),3)</f>
        <v>0</v>
      </c>
      <c r="E307">
        <f>ROUND(TAN(RADIANS(CSV_Import!U305))*((Auswertung!$C$7/2)*100-Auswertung!$C$8),3)</f>
        <v>0</v>
      </c>
      <c r="F307">
        <f>ROUND(TAN(RADIANS(CSV_Import!B305))*((Auswertung!$C$7/2)*100-Auswertung!$C$8),3)</f>
        <v>0</v>
      </c>
      <c r="G307">
        <f>ROUND(TAN(RADIANS(CSV_Import!S305))*((Auswertung!$C$7/2)*100-Auswertung!$C$8),3)</f>
        <v>0</v>
      </c>
      <c r="H307">
        <f>ROUND(TAN(RADIANS(CSV_Import!E305))*((Auswertung!$C$7/2)*100-Auswertung!$C$8),3)</f>
        <v>0</v>
      </c>
      <c r="I307">
        <f>ROUND(TAN(RADIANS(CSV_Import!V305))*((Auswertung!$C$7/2)*100-Auswertung!$C$8),3)</f>
        <v>0</v>
      </c>
      <c r="K307">
        <f>(CSV_Import!$N$2-CSV_Import!N305)</f>
        <v>0</v>
      </c>
      <c r="L307">
        <f>(CSV_Import!$AE$2-CSV_Import!AE305)</f>
        <v>0</v>
      </c>
    </row>
    <row r="308" spans="2:12" x14ac:dyDescent="0.3">
      <c r="B308">
        <f>(CSV_Import!G306-CSV_Import!$G$2)/1000</f>
        <v>0</v>
      </c>
      <c r="D308">
        <f>ROUND(TAN(RADIANS(CSV_Import!D306))*((Auswertung!$C$7*100)/2-Auswertung!$C$8),3)</f>
        <v>0</v>
      </c>
      <c r="E308">
        <f>ROUND(TAN(RADIANS(CSV_Import!U306))*((Auswertung!$C$7/2)*100-Auswertung!$C$8),3)</f>
        <v>0</v>
      </c>
      <c r="F308">
        <f>ROUND(TAN(RADIANS(CSV_Import!B306))*((Auswertung!$C$7/2)*100-Auswertung!$C$8),3)</f>
        <v>0</v>
      </c>
      <c r="G308">
        <f>ROUND(TAN(RADIANS(CSV_Import!S306))*((Auswertung!$C$7/2)*100-Auswertung!$C$8),3)</f>
        <v>0</v>
      </c>
      <c r="H308">
        <f>ROUND(TAN(RADIANS(CSV_Import!E306))*((Auswertung!$C$7/2)*100-Auswertung!$C$8),3)</f>
        <v>0</v>
      </c>
      <c r="I308">
        <f>ROUND(TAN(RADIANS(CSV_Import!V306))*((Auswertung!$C$7/2)*100-Auswertung!$C$8),3)</f>
        <v>0</v>
      </c>
      <c r="K308">
        <f>(CSV_Import!$N$2-CSV_Import!N306)</f>
        <v>0</v>
      </c>
      <c r="L308">
        <f>(CSV_Import!$AE$2-CSV_Import!AE306)</f>
        <v>0</v>
      </c>
    </row>
    <row r="309" spans="2:12" x14ac:dyDescent="0.3">
      <c r="B309">
        <f>(CSV_Import!G307-CSV_Import!$G$2)/1000</f>
        <v>0</v>
      </c>
      <c r="D309">
        <f>ROUND(TAN(RADIANS(CSV_Import!D307))*((Auswertung!$C$7*100)/2-Auswertung!$C$8),3)</f>
        <v>0</v>
      </c>
      <c r="E309">
        <f>ROUND(TAN(RADIANS(CSV_Import!U307))*((Auswertung!$C$7/2)*100-Auswertung!$C$8),3)</f>
        <v>0</v>
      </c>
      <c r="F309">
        <f>ROUND(TAN(RADIANS(CSV_Import!B307))*((Auswertung!$C$7/2)*100-Auswertung!$C$8),3)</f>
        <v>0</v>
      </c>
      <c r="G309">
        <f>ROUND(TAN(RADIANS(CSV_Import!S307))*((Auswertung!$C$7/2)*100-Auswertung!$C$8),3)</f>
        <v>0</v>
      </c>
      <c r="H309">
        <f>ROUND(TAN(RADIANS(CSV_Import!E307))*((Auswertung!$C$7/2)*100-Auswertung!$C$8),3)</f>
        <v>0</v>
      </c>
      <c r="I309">
        <f>ROUND(TAN(RADIANS(CSV_Import!V307))*((Auswertung!$C$7/2)*100-Auswertung!$C$8),3)</f>
        <v>0</v>
      </c>
      <c r="K309">
        <f>(CSV_Import!$N$2-CSV_Import!N307)</f>
        <v>0</v>
      </c>
      <c r="L309">
        <f>(CSV_Import!$AE$2-CSV_Import!AE307)</f>
        <v>0</v>
      </c>
    </row>
    <row r="310" spans="2:12" x14ac:dyDescent="0.3">
      <c r="B310">
        <f>(CSV_Import!G308-CSV_Import!$G$2)/1000</f>
        <v>0</v>
      </c>
      <c r="D310">
        <f>ROUND(TAN(RADIANS(CSV_Import!D308))*((Auswertung!$C$7*100)/2-Auswertung!$C$8),3)</f>
        <v>0</v>
      </c>
      <c r="E310">
        <f>ROUND(TAN(RADIANS(CSV_Import!U308))*((Auswertung!$C$7/2)*100-Auswertung!$C$8),3)</f>
        <v>0</v>
      </c>
      <c r="F310">
        <f>ROUND(TAN(RADIANS(CSV_Import!B308))*((Auswertung!$C$7/2)*100-Auswertung!$C$8),3)</f>
        <v>0</v>
      </c>
      <c r="G310">
        <f>ROUND(TAN(RADIANS(CSV_Import!S308))*((Auswertung!$C$7/2)*100-Auswertung!$C$8),3)</f>
        <v>0</v>
      </c>
      <c r="H310">
        <f>ROUND(TAN(RADIANS(CSV_Import!E308))*((Auswertung!$C$7/2)*100-Auswertung!$C$8),3)</f>
        <v>0</v>
      </c>
      <c r="I310">
        <f>ROUND(TAN(RADIANS(CSV_Import!V308))*((Auswertung!$C$7/2)*100-Auswertung!$C$8),3)</f>
        <v>0</v>
      </c>
      <c r="K310">
        <f>(CSV_Import!$N$2-CSV_Import!N308)</f>
        <v>0</v>
      </c>
      <c r="L310">
        <f>(CSV_Import!$AE$2-CSV_Import!AE308)</f>
        <v>0</v>
      </c>
    </row>
    <row r="311" spans="2:12" x14ac:dyDescent="0.3">
      <c r="B311">
        <f>(CSV_Import!G309-CSV_Import!$G$2)/1000</f>
        <v>0</v>
      </c>
      <c r="D311">
        <f>ROUND(TAN(RADIANS(CSV_Import!D309))*((Auswertung!$C$7*100)/2-Auswertung!$C$8),3)</f>
        <v>0</v>
      </c>
      <c r="E311">
        <f>ROUND(TAN(RADIANS(CSV_Import!U309))*((Auswertung!$C$7/2)*100-Auswertung!$C$8),3)</f>
        <v>0</v>
      </c>
      <c r="F311">
        <f>ROUND(TAN(RADIANS(CSV_Import!B309))*((Auswertung!$C$7/2)*100-Auswertung!$C$8),3)</f>
        <v>0</v>
      </c>
      <c r="G311">
        <f>ROUND(TAN(RADIANS(CSV_Import!S309))*((Auswertung!$C$7/2)*100-Auswertung!$C$8),3)</f>
        <v>0</v>
      </c>
      <c r="H311">
        <f>ROUND(TAN(RADIANS(CSV_Import!E309))*((Auswertung!$C$7/2)*100-Auswertung!$C$8),3)</f>
        <v>0</v>
      </c>
      <c r="I311">
        <f>ROUND(TAN(RADIANS(CSV_Import!V309))*((Auswertung!$C$7/2)*100-Auswertung!$C$8),3)</f>
        <v>0</v>
      </c>
      <c r="K311">
        <f>(CSV_Import!$N$2-CSV_Import!N309)</f>
        <v>0</v>
      </c>
      <c r="L311">
        <f>(CSV_Import!$AE$2-CSV_Import!AE309)</f>
        <v>0</v>
      </c>
    </row>
    <row r="312" spans="2:12" x14ac:dyDescent="0.3">
      <c r="B312">
        <f>(CSV_Import!G310-CSV_Import!$G$2)/1000</f>
        <v>0</v>
      </c>
      <c r="D312">
        <f>ROUND(TAN(RADIANS(CSV_Import!D310))*((Auswertung!$C$7*100)/2-Auswertung!$C$8),3)</f>
        <v>0</v>
      </c>
      <c r="E312">
        <f>ROUND(TAN(RADIANS(CSV_Import!U310))*((Auswertung!$C$7/2)*100-Auswertung!$C$8),3)</f>
        <v>0</v>
      </c>
      <c r="F312">
        <f>ROUND(TAN(RADIANS(CSV_Import!B310))*((Auswertung!$C$7/2)*100-Auswertung!$C$8),3)</f>
        <v>0</v>
      </c>
      <c r="G312">
        <f>ROUND(TAN(RADIANS(CSV_Import!S310))*((Auswertung!$C$7/2)*100-Auswertung!$C$8),3)</f>
        <v>0</v>
      </c>
      <c r="H312">
        <f>ROUND(TAN(RADIANS(CSV_Import!E310))*((Auswertung!$C$7/2)*100-Auswertung!$C$8),3)</f>
        <v>0</v>
      </c>
      <c r="I312">
        <f>ROUND(TAN(RADIANS(CSV_Import!V310))*((Auswertung!$C$7/2)*100-Auswertung!$C$8),3)</f>
        <v>0</v>
      </c>
      <c r="K312">
        <f>(CSV_Import!$N$2-CSV_Import!N310)</f>
        <v>0</v>
      </c>
      <c r="L312">
        <f>(CSV_Import!$AE$2-CSV_Import!AE310)</f>
        <v>0</v>
      </c>
    </row>
    <row r="313" spans="2:12" x14ac:dyDescent="0.3">
      <c r="B313">
        <f>(CSV_Import!G311-CSV_Import!$G$2)/1000</f>
        <v>0</v>
      </c>
      <c r="D313">
        <f>ROUND(TAN(RADIANS(CSV_Import!D311))*((Auswertung!$C$7*100)/2-Auswertung!$C$8),3)</f>
        <v>0</v>
      </c>
      <c r="E313">
        <f>ROUND(TAN(RADIANS(CSV_Import!U311))*((Auswertung!$C$7/2)*100-Auswertung!$C$8),3)</f>
        <v>0</v>
      </c>
      <c r="F313">
        <f>ROUND(TAN(RADIANS(CSV_Import!B311))*((Auswertung!$C$7/2)*100-Auswertung!$C$8),3)</f>
        <v>0</v>
      </c>
      <c r="G313">
        <f>ROUND(TAN(RADIANS(CSV_Import!S311))*((Auswertung!$C$7/2)*100-Auswertung!$C$8),3)</f>
        <v>0</v>
      </c>
      <c r="H313">
        <f>ROUND(TAN(RADIANS(CSV_Import!E311))*((Auswertung!$C$7/2)*100-Auswertung!$C$8),3)</f>
        <v>0</v>
      </c>
      <c r="I313">
        <f>ROUND(TAN(RADIANS(CSV_Import!V311))*((Auswertung!$C$7/2)*100-Auswertung!$C$8),3)</f>
        <v>0</v>
      </c>
      <c r="K313">
        <f>(CSV_Import!$N$2-CSV_Import!N311)</f>
        <v>0</v>
      </c>
      <c r="L313">
        <f>(CSV_Import!$AE$2-CSV_Import!AE311)</f>
        <v>0</v>
      </c>
    </row>
    <row r="314" spans="2:12" x14ac:dyDescent="0.3">
      <c r="B314">
        <f>(CSV_Import!G312-CSV_Import!$G$2)/1000</f>
        <v>0</v>
      </c>
      <c r="D314">
        <f>ROUND(TAN(RADIANS(CSV_Import!D312))*((Auswertung!$C$7*100)/2-Auswertung!$C$8),3)</f>
        <v>0</v>
      </c>
      <c r="E314">
        <f>ROUND(TAN(RADIANS(CSV_Import!U312))*((Auswertung!$C$7/2)*100-Auswertung!$C$8),3)</f>
        <v>0</v>
      </c>
      <c r="F314">
        <f>ROUND(TAN(RADIANS(CSV_Import!B312))*((Auswertung!$C$7/2)*100-Auswertung!$C$8),3)</f>
        <v>0</v>
      </c>
      <c r="G314">
        <f>ROUND(TAN(RADIANS(CSV_Import!S312))*((Auswertung!$C$7/2)*100-Auswertung!$C$8),3)</f>
        <v>0</v>
      </c>
      <c r="H314">
        <f>ROUND(TAN(RADIANS(CSV_Import!E312))*((Auswertung!$C$7/2)*100-Auswertung!$C$8),3)</f>
        <v>0</v>
      </c>
      <c r="I314">
        <f>ROUND(TAN(RADIANS(CSV_Import!V312))*((Auswertung!$C$7/2)*100-Auswertung!$C$8),3)</f>
        <v>0</v>
      </c>
      <c r="K314">
        <f>(CSV_Import!$N$2-CSV_Import!N312)</f>
        <v>0</v>
      </c>
      <c r="L314">
        <f>(CSV_Import!$AE$2-CSV_Import!AE312)</f>
        <v>0</v>
      </c>
    </row>
    <row r="315" spans="2:12" x14ac:dyDescent="0.3">
      <c r="B315">
        <f>(CSV_Import!G313-CSV_Import!$G$2)/1000</f>
        <v>0</v>
      </c>
      <c r="D315">
        <f>ROUND(TAN(RADIANS(CSV_Import!D313))*((Auswertung!$C$7*100)/2-Auswertung!$C$8),3)</f>
        <v>0</v>
      </c>
      <c r="E315">
        <f>ROUND(TAN(RADIANS(CSV_Import!U313))*((Auswertung!$C$7/2)*100-Auswertung!$C$8),3)</f>
        <v>0</v>
      </c>
      <c r="F315">
        <f>ROUND(TAN(RADIANS(CSV_Import!B313))*((Auswertung!$C$7/2)*100-Auswertung!$C$8),3)</f>
        <v>0</v>
      </c>
      <c r="G315">
        <f>ROUND(TAN(RADIANS(CSV_Import!S313))*((Auswertung!$C$7/2)*100-Auswertung!$C$8),3)</f>
        <v>0</v>
      </c>
      <c r="H315">
        <f>ROUND(TAN(RADIANS(CSV_Import!E313))*((Auswertung!$C$7/2)*100-Auswertung!$C$8),3)</f>
        <v>0</v>
      </c>
      <c r="I315">
        <f>ROUND(TAN(RADIANS(CSV_Import!V313))*((Auswertung!$C$7/2)*100-Auswertung!$C$8),3)</f>
        <v>0</v>
      </c>
      <c r="K315">
        <f>(CSV_Import!$N$2-CSV_Import!N313)</f>
        <v>0</v>
      </c>
      <c r="L315">
        <f>(CSV_Import!$AE$2-CSV_Import!AE313)</f>
        <v>0</v>
      </c>
    </row>
    <row r="316" spans="2:12" x14ac:dyDescent="0.3">
      <c r="B316">
        <f>(CSV_Import!G314-CSV_Import!$G$2)/1000</f>
        <v>0</v>
      </c>
      <c r="D316">
        <f>ROUND(TAN(RADIANS(CSV_Import!D314))*((Auswertung!$C$7*100)/2-Auswertung!$C$8),3)</f>
        <v>0</v>
      </c>
      <c r="E316">
        <f>ROUND(TAN(RADIANS(CSV_Import!U314))*((Auswertung!$C$7/2)*100-Auswertung!$C$8),3)</f>
        <v>0</v>
      </c>
      <c r="F316">
        <f>ROUND(TAN(RADIANS(CSV_Import!B314))*((Auswertung!$C$7/2)*100-Auswertung!$C$8),3)</f>
        <v>0</v>
      </c>
      <c r="G316">
        <f>ROUND(TAN(RADIANS(CSV_Import!S314))*((Auswertung!$C$7/2)*100-Auswertung!$C$8),3)</f>
        <v>0</v>
      </c>
      <c r="H316">
        <f>ROUND(TAN(RADIANS(CSV_Import!E314))*((Auswertung!$C$7/2)*100-Auswertung!$C$8),3)</f>
        <v>0</v>
      </c>
      <c r="I316">
        <f>ROUND(TAN(RADIANS(CSV_Import!V314))*((Auswertung!$C$7/2)*100-Auswertung!$C$8),3)</f>
        <v>0</v>
      </c>
      <c r="K316">
        <f>(CSV_Import!$N$2-CSV_Import!N314)</f>
        <v>0</v>
      </c>
      <c r="L316">
        <f>(CSV_Import!$AE$2-CSV_Import!AE314)</f>
        <v>0</v>
      </c>
    </row>
    <row r="317" spans="2:12" x14ac:dyDescent="0.3">
      <c r="B317">
        <f>(CSV_Import!G315-CSV_Import!$G$2)/1000</f>
        <v>0</v>
      </c>
      <c r="D317">
        <f>ROUND(TAN(RADIANS(CSV_Import!D315))*((Auswertung!$C$7*100)/2-Auswertung!$C$8),3)</f>
        <v>0</v>
      </c>
      <c r="E317">
        <f>ROUND(TAN(RADIANS(CSV_Import!U315))*((Auswertung!$C$7/2)*100-Auswertung!$C$8),3)</f>
        <v>0</v>
      </c>
      <c r="F317">
        <f>ROUND(TAN(RADIANS(CSV_Import!B315))*((Auswertung!$C$7/2)*100-Auswertung!$C$8),3)</f>
        <v>0</v>
      </c>
      <c r="G317">
        <f>ROUND(TAN(RADIANS(CSV_Import!S315))*((Auswertung!$C$7/2)*100-Auswertung!$C$8),3)</f>
        <v>0</v>
      </c>
      <c r="H317">
        <f>ROUND(TAN(RADIANS(CSV_Import!E315))*((Auswertung!$C$7/2)*100-Auswertung!$C$8),3)</f>
        <v>0</v>
      </c>
      <c r="I317">
        <f>ROUND(TAN(RADIANS(CSV_Import!V315))*((Auswertung!$C$7/2)*100-Auswertung!$C$8),3)</f>
        <v>0</v>
      </c>
      <c r="K317">
        <f>(CSV_Import!$N$2-CSV_Import!N315)</f>
        <v>0</v>
      </c>
      <c r="L317">
        <f>(CSV_Import!$AE$2-CSV_Import!AE315)</f>
        <v>0</v>
      </c>
    </row>
    <row r="318" spans="2:12" x14ac:dyDescent="0.3">
      <c r="B318">
        <f>(CSV_Import!G316-CSV_Import!$G$2)/1000</f>
        <v>0</v>
      </c>
      <c r="D318">
        <f>ROUND(TAN(RADIANS(CSV_Import!D316))*((Auswertung!$C$7*100)/2-Auswertung!$C$8),3)</f>
        <v>0</v>
      </c>
      <c r="E318">
        <f>ROUND(TAN(RADIANS(CSV_Import!U316))*((Auswertung!$C$7/2)*100-Auswertung!$C$8),3)</f>
        <v>0</v>
      </c>
      <c r="F318">
        <f>ROUND(TAN(RADIANS(CSV_Import!B316))*((Auswertung!$C$7/2)*100-Auswertung!$C$8),3)</f>
        <v>0</v>
      </c>
      <c r="G318">
        <f>ROUND(TAN(RADIANS(CSV_Import!S316))*((Auswertung!$C$7/2)*100-Auswertung!$C$8),3)</f>
        <v>0</v>
      </c>
      <c r="H318">
        <f>ROUND(TAN(RADIANS(CSV_Import!E316))*((Auswertung!$C$7/2)*100-Auswertung!$C$8),3)</f>
        <v>0</v>
      </c>
      <c r="I318">
        <f>ROUND(TAN(RADIANS(CSV_Import!V316))*((Auswertung!$C$7/2)*100-Auswertung!$C$8),3)</f>
        <v>0</v>
      </c>
      <c r="K318">
        <f>(CSV_Import!$N$2-CSV_Import!N316)</f>
        <v>0</v>
      </c>
      <c r="L318">
        <f>(CSV_Import!$AE$2-CSV_Import!AE316)</f>
        <v>0</v>
      </c>
    </row>
    <row r="319" spans="2:12" x14ac:dyDescent="0.3">
      <c r="B319">
        <f>(CSV_Import!G317-CSV_Import!$G$2)/1000</f>
        <v>0</v>
      </c>
      <c r="D319">
        <f>ROUND(TAN(RADIANS(CSV_Import!D317))*((Auswertung!$C$7*100)/2-Auswertung!$C$8),3)</f>
        <v>0</v>
      </c>
      <c r="E319">
        <f>ROUND(TAN(RADIANS(CSV_Import!U317))*((Auswertung!$C$7/2)*100-Auswertung!$C$8),3)</f>
        <v>0</v>
      </c>
      <c r="F319">
        <f>ROUND(TAN(RADIANS(CSV_Import!B317))*((Auswertung!$C$7/2)*100-Auswertung!$C$8),3)</f>
        <v>0</v>
      </c>
      <c r="G319">
        <f>ROUND(TAN(RADIANS(CSV_Import!S317))*((Auswertung!$C$7/2)*100-Auswertung!$C$8),3)</f>
        <v>0</v>
      </c>
      <c r="H319">
        <f>ROUND(TAN(RADIANS(CSV_Import!E317))*((Auswertung!$C$7/2)*100-Auswertung!$C$8),3)</f>
        <v>0</v>
      </c>
      <c r="I319">
        <f>ROUND(TAN(RADIANS(CSV_Import!V317))*((Auswertung!$C$7/2)*100-Auswertung!$C$8),3)</f>
        <v>0</v>
      </c>
      <c r="K319">
        <f>(CSV_Import!$N$2-CSV_Import!N317)</f>
        <v>0</v>
      </c>
      <c r="L319">
        <f>(CSV_Import!$AE$2-CSV_Import!AE317)</f>
        <v>0</v>
      </c>
    </row>
    <row r="320" spans="2:12" x14ac:dyDescent="0.3">
      <c r="B320">
        <f>(CSV_Import!G318-CSV_Import!$G$2)/1000</f>
        <v>0</v>
      </c>
      <c r="D320">
        <f>ROUND(TAN(RADIANS(CSV_Import!D318))*((Auswertung!$C$7*100)/2-Auswertung!$C$8),3)</f>
        <v>0</v>
      </c>
      <c r="E320">
        <f>ROUND(TAN(RADIANS(CSV_Import!U318))*((Auswertung!$C$7/2)*100-Auswertung!$C$8),3)</f>
        <v>0</v>
      </c>
      <c r="F320">
        <f>ROUND(TAN(RADIANS(CSV_Import!B318))*((Auswertung!$C$7/2)*100-Auswertung!$C$8),3)</f>
        <v>0</v>
      </c>
      <c r="G320">
        <f>ROUND(TAN(RADIANS(CSV_Import!S318))*((Auswertung!$C$7/2)*100-Auswertung!$C$8),3)</f>
        <v>0</v>
      </c>
      <c r="H320">
        <f>ROUND(TAN(RADIANS(CSV_Import!E318))*((Auswertung!$C$7/2)*100-Auswertung!$C$8),3)</f>
        <v>0</v>
      </c>
      <c r="I320">
        <f>ROUND(TAN(RADIANS(CSV_Import!V318))*((Auswertung!$C$7/2)*100-Auswertung!$C$8),3)</f>
        <v>0</v>
      </c>
      <c r="K320">
        <f>(CSV_Import!$N$2-CSV_Import!N318)</f>
        <v>0</v>
      </c>
      <c r="L320">
        <f>(CSV_Import!$AE$2-CSV_Import!AE318)</f>
        <v>0</v>
      </c>
    </row>
    <row r="321" spans="2:12" x14ac:dyDescent="0.3">
      <c r="B321">
        <f>(CSV_Import!G319-CSV_Import!$G$2)/1000</f>
        <v>0</v>
      </c>
      <c r="D321">
        <f>ROUND(TAN(RADIANS(CSV_Import!D319))*((Auswertung!$C$7*100)/2-Auswertung!$C$8),3)</f>
        <v>0</v>
      </c>
      <c r="E321">
        <f>ROUND(TAN(RADIANS(CSV_Import!U319))*((Auswertung!$C$7/2)*100-Auswertung!$C$8),3)</f>
        <v>0</v>
      </c>
      <c r="F321">
        <f>ROUND(TAN(RADIANS(CSV_Import!B319))*((Auswertung!$C$7/2)*100-Auswertung!$C$8),3)</f>
        <v>0</v>
      </c>
      <c r="G321">
        <f>ROUND(TAN(RADIANS(CSV_Import!S319))*((Auswertung!$C$7/2)*100-Auswertung!$C$8),3)</f>
        <v>0</v>
      </c>
      <c r="H321">
        <f>ROUND(TAN(RADIANS(CSV_Import!E319))*((Auswertung!$C$7/2)*100-Auswertung!$C$8),3)</f>
        <v>0</v>
      </c>
      <c r="I321">
        <f>ROUND(TAN(RADIANS(CSV_Import!V319))*((Auswertung!$C$7/2)*100-Auswertung!$C$8),3)</f>
        <v>0</v>
      </c>
      <c r="K321">
        <f>(CSV_Import!$N$2-CSV_Import!N319)</f>
        <v>0</v>
      </c>
      <c r="L321">
        <f>(CSV_Import!$AE$2-CSV_Import!AE319)</f>
        <v>0</v>
      </c>
    </row>
    <row r="322" spans="2:12" x14ac:dyDescent="0.3">
      <c r="B322">
        <f>(CSV_Import!G320-CSV_Import!$G$2)/1000</f>
        <v>0</v>
      </c>
      <c r="D322">
        <f>ROUND(TAN(RADIANS(CSV_Import!D320))*((Auswertung!$C$7*100)/2-Auswertung!$C$8),3)</f>
        <v>0</v>
      </c>
      <c r="E322">
        <f>ROUND(TAN(RADIANS(CSV_Import!U320))*((Auswertung!$C$7/2)*100-Auswertung!$C$8),3)</f>
        <v>0</v>
      </c>
      <c r="F322">
        <f>ROUND(TAN(RADIANS(CSV_Import!B320))*((Auswertung!$C$7/2)*100-Auswertung!$C$8),3)</f>
        <v>0</v>
      </c>
      <c r="G322">
        <f>ROUND(TAN(RADIANS(CSV_Import!S320))*((Auswertung!$C$7/2)*100-Auswertung!$C$8),3)</f>
        <v>0</v>
      </c>
      <c r="H322">
        <f>ROUND(TAN(RADIANS(CSV_Import!E320))*((Auswertung!$C$7/2)*100-Auswertung!$C$8),3)</f>
        <v>0</v>
      </c>
      <c r="I322">
        <f>ROUND(TAN(RADIANS(CSV_Import!V320))*((Auswertung!$C$7/2)*100-Auswertung!$C$8),3)</f>
        <v>0</v>
      </c>
      <c r="K322">
        <f>(CSV_Import!$N$2-CSV_Import!N320)</f>
        <v>0</v>
      </c>
      <c r="L322">
        <f>(CSV_Import!$AE$2-CSV_Import!AE320)</f>
        <v>0</v>
      </c>
    </row>
    <row r="323" spans="2:12" x14ac:dyDescent="0.3">
      <c r="B323">
        <f>(CSV_Import!G321-CSV_Import!$G$2)/1000</f>
        <v>0</v>
      </c>
      <c r="D323">
        <f>ROUND(TAN(RADIANS(CSV_Import!D321))*((Auswertung!$C$7*100)/2-Auswertung!$C$8),3)</f>
        <v>0</v>
      </c>
      <c r="E323">
        <f>ROUND(TAN(RADIANS(CSV_Import!U321))*((Auswertung!$C$7/2)*100-Auswertung!$C$8),3)</f>
        <v>0</v>
      </c>
      <c r="F323">
        <f>ROUND(TAN(RADIANS(CSV_Import!B321))*((Auswertung!$C$7/2)*100-Auswertung!$C$8),3)</f>
        <v>0</v>
      </c>
      <c r="G323">
        <f>ROUND(TAN(RADIANS(CSV_Import!S321))*((Auswertung!$C$7/2)*100-Auswertung!$C$8),3)</f>
        <v>0</v>
      </c>
      <c r="H323">
        <f>ROUND(TAN(RADIANS(CSV_Import!E321))*((Auswertung!$C$7/2)*100-Auswertung!$C$8),3)</f>
        <v>0</v>
      </c>
      <c r="I323">
        <f>ROUND(TAN(RADIANS(CSV_Import!V321))*((Auswertung!$C$7/2)*100-Auswertung!$C$8),3)</f>
        <v>0</v>
      </c>
      <c r="K323">
        <f>(CSV_Import!$N$2-CSV_Import!N321)</f>
        <v>0</v>
      </c>
      <c r="L323">
        <f>(CSV_Import!$AE$2-CSV_Import!AE321)</f>
        <v>0</v>
      </c>
    </row>
    <row r="324" spans="2:12" x14ac:dyDescent="0.3">
      <c r="B324">
        <f>(CSV_Import!G322-CSV_Import!$G$2)/1000</f>
        <v>0</v>
      </c>
      <c r="D324">
        <f>ROUND(TAN(RADIANS(CSV_Import!D322))*((Auswertung!$C$7*100)/2-Auswertung!$C$8),3)</f>
        <v>0</v>
      </c>
      <c r="E324">
        <f>ROUND(TAN(RADIANS(CSV_Import!U322))*((Auswertung!$C$7/2)*100-Auswertung!$C$8),3)</f>
        <v>0</v>
      </c>
      <c r="F324">
        <f>ROUND(TAN(RADIANS(CSV_Import!B322))*((Auswertung!$C$7/2)*100-Auswertung!$C$8),3)</f>
        <v>0</v>
      </c>
      <c r="G324">
        <f>ROUND(TAN(RADIANS(CSV_Import!S322))*((Auswertung!$C$7/2)*100-Auswertung!$C$8),3)</f>
        <v>0</v>
      </c>
      <c r="H324">
        <f>ROUND(TAN(RADIANS(CSV_Import!E322))*((Auswertung!$C$7/2)*100-Auswertung!$C$8),3)</f>
        <v>0</v>
      </c>
      <c r="I324">
        <f>ROUND(TAN(RADIANS(CSV_Import!V322))*((Auswertung!$C$7/2)*100-Auswertung!$C$8),3)</f>
        <v>0</v>
      </c>
      <c r="K324">
        <f>(CSV_Import!$N$2-CSV_Import!N322)</f>
        <v>0</v>
      </c>
      <c r="L324">
        <f>(CSV_Import!$AE$2-CSV_Import!AE322)</f>
        <v>0</v>
      </c>
    </row>
    <row r="325" spans="2:12" x14ac:dyDescent="0.3">
      <c r="B325">
        <f>(CSV_Import!G323-CSV_Import!$G$2)/1000</f>
        <v>0</v>
      </c>
      <c r="D325">
        <f>ROUND(TAN(RADIANS(CSV_Import!D323))*((Auswertung!$C$7*100)/2-Auswertung!$C$8),3)</f>
        <v>0</v>
      </c>
      <c r="E325">
        <f>ROUND(TAN(RADIANS(CSV_Import!U323))*((Auswertung!$C$7/2)*100-Auswertung!$C$8),3)</f>
        <v>0</v>
      </c>
      <c r="F325">
        <f>ROUND(TAN(RADIANS(CSV_Import!B323))*((Auswertung!$C$7/2)*100-Auswertung!$C$8),3)</f>
        <v>0</v>
      </c>
      <c r="G325">
        <f>ROUND(TAN(RADIANS(CSV_Import!S323))*((Auswertung!$C$7/2)*100-Auswertung!$C$8),3)</f>
        <v>0</v>
      </c>
      <c r="H325">
        <f>ROUND(TAN(RADIANS(CSV_Import!E323))*((Auswertung!$C$7/2)*100-Auswertung!$C$8),3)</f>
        <v>0</v>
      </c>
      <c r="I325">
        <f>ROUND(TAN(RADIANS(CSV_Import!V323))*((Auswertung!$C$7/2)*100-Auswertung!$C$8),3)</f>
        <v>0</v>
      </c>
      <c r="K325">
        <f>(CSV_Import!$N$2-CSV_Import!N323)</f>
        <v>0</v>
      </c>
      <c r="L325">
        <f>(CSV_Import!$AE$2-CSV_Import!AE323)</f>
        <v>0</v>
      </c>
    </row>
    <row r="326" spans="2:12" x14ac:dyDescent="0.3">
      <c r="B326">
        <f>(CSV_Import!G324-CSV_Import!$G$2)/1000</f>
        <v>0</v>
      </c>
      <c r="D326">
        <f>ROUND(TAN(RADIANS(CSV_Import!D324))*((Auswertung!$C$7*100)/2-Auswertung!$C$8),3)</f>
        <v>0</v>
      </c>
      <c r="E326">
        <f>ROUND(TAN(RADIANS(CSV_Import!U324))*((Auswertung!$C$7/2)*100-Auswertung!$C$8),3)</f>
        <v>0</v>
      </c>
      <c r="F326">
        <f>ROUND(TAN(RADIANS(CSV_Import!B324))*((Auswertung!$C$7/2)*100-Auswertung!$C$8),3)</f>
        <v>0</v>
      </c>
      <c r="G326">
        <f>ROUND(TAN(RADIANS(CSV_Import!S324))*((Auswertung!$C$7/2)*100-Auswertung!$C$8),3)</f>
        <v>0</v>
      </c>
      <c r="H326">
        <f>ROUND(TAN(RADIANS(CSV_Import!E324))*((Auswertung!$C$7/2)*100-Auswertung!$C$8),3)</f>
        <v>0</v>
      </c>
      <c r="I326">
        <f>ROUND(TAN(RADIANS(CSV_Import!V324))*((Auswertung!$C$7/2)*100-Auswertung!$C$8),3)</f>
        <v>0</v>
      </c>
      <c r="K326">
        <f>(CSV_Import!$N$2-CSV_Import!N324)</f>
        <v>0</v>
      </c>
      <c r="L326">
        <f>(CSV_Import!$AE$2-CSV_Import!AE324)</f>
        <v>0</v>
      </c>
    </row>
    <row r="327" spans="2:12" x14ac:dyDescent="0.3">
      <c r="B327">
        <f>(CSV_Import!G325-CSV_Import!$G$2)/1000</f>
        <v>0</v>
      </c>
      <c r="D327">
        <f>ROUND(TAN(RADIANS(CSV_Import!D325))*((Auswertung!$C$7*100)/2-Auswertung!$C$8),3)</f>
        <v>0</v>
      </c>
      <c r="E327">
        <f>ROUND(TAN(RADIANS(CSV_Import!U325))*((Auswertung!$C$7/2)*100-Auswertung!$C$8),3)</f>
        <v>0</v>
      </c>
      <c r="F327">
        <f>ROUND(TAN(RADIANS(CSV_Import!B325))*((Auswertung!$C$7/2)*100-Auswertung!$C$8),3)</f>
        <v>0</v>
      </c>
      <c r="G327">
        <f>ROUND(TAN(RADIANS(CSV_Import!S325))*((Auswertung!$C$7/2)*100-Auswertung!$C$8),3)</f>
        <v>0</v>
      </c>
      <c r="H327">
        <f>ROUND(TAN(RADIANS(CSV_Import!E325))*((Auswertung!$C$7/2)*100-Auswertung!$C$8),3)</f>
        <v>0</v>
      </c>
      <c r="I327">
        <f>ROUND(TAN(RADIANS(CSV_Import!V325))*((Auswertung!$C$7/2)*100-Auswertung!$C$8),3)</f>
        <v>0</v>
      </c>
      <c r="K327">
        <f>(CSV_Import!$N$2-CSV_Import!N325)</f>
        <v>0</v>
      </c>
      <c r="L327">
        <f>(CSV_Import!$AE$2-CSV_Import!AE325)</f>
        <v>0</v>
      </c>
    </row>
    <row r="328" spans="2:12" x14ac:dyDescent="0.3">
      <c r="B328">
        <f>(CSV_Import!G326-CSV_Import!$G$2)/1000</f>
        <v>0</v>
      </c>
      <c r="D328">
        <f>ROUND(TAN(RADIANS(CSV_Import!D326))*((Auswertung!$C$7*100)/2-Auswertung!$C$8),3)</f>
        <v>0</v>
      </c>
      <c r="E328">
        <f>ROUND(TAN(RADIANS(CSV_Import!U326))*((Auswertung!$C$7/2)*100-Auswertung!$C$8),3)</f>
        <v>0</v>
      </c>
      <c r="F328">
        <f>ROUND(TAN(RADIANS(CSV_Import!B326))*((Auswertung!$C$7/2)*100-Auswertung!$C$8),3)</f>
        <v>0</v>
      </c>
      <c r="G328">
        <f>ROUND(TAN(RADIANS(CSV_Import!S326))*((Auswertung!$C$7/2)*100-Auswertung!$C$8),3)</f>
        <v>0</v>
      </c>
      <c r="H328">
        <f>ROUND(TAN(RADIANS(CSV_Import!E326))*((Auswertung!$C$7/2)*100-Auswertung!$C$8),3)</f>
        <v>0</v>
      </c>
      <c r="I328">
        <f>ROUND(TAN(RADIANS(CSV_Import!V326))*((Auswertung!$C$7/2)*100-Auswertung!$C$8),3)</f>
        <v>0</v>
      </c>
      <c r="K328">
        <f>(CSV_Import!$N$2-CSV_Import!N326)</f>
        <v>0</v>
      </c>
      <c r="L328">
        <f>(CSV_Import!$AE$2-CSV_Import!AE326)</f>
        <v>0</v>
      </c>
    </row>
    <row r="329" spans="2:12" x14ac:dyDescent="0.3">
      <c r="B329">
        <f>(CSV_Import!G327-CSV_Import!$G$2)/1000</f>
        <v>0</v>
      </c>
      <c r="D329">
        <f>ROUND(TAN(RADIANS(CSV_Import!D327))*((Auswertung!$C$7*100)/2-Auswertung!$C$8),3)</f>
        <v>0</v>
      </c>
      <c r="E329">
        <f>ROUND(TAN(RADIANS(CSV_Import!U327))*((Auswertung!$C$7/2)*100-Auswertung!$C$8),3)</f>
        <v>0</v>
      </c>
      <c r="F329">
        <f>ROUND(TAN(RADIANS(CSV_Import!B327))*((Auswertung!$C$7/2)*100-Auswertung!$C$8),3)</f>
        <v>0</v>
      </c>
      <c r="G329">
        <f>ROUND(TAN(RADIANS(CSV_Import!S327))*((Auswertung!$C$7/2)*100-Auswertung!$C$8),3)</f>
        <v>0</v>
      </c>
      <c r="H329">
        <f>ROUND(TAN(RADIANS(CSV_Import!E327))*((Auswertung!$C$7/2)*100-Auswertung!$C$8),3)</f>
        <v>0</v>
      </c>
      <c r="I329">
        <f>ROUND(TAN(RADIANS(CSV_Import!V327))*((Auswertung!$C$7/2)*100-Auswertung!$C$8),3)</f>
        <v>0</v>
      </c>
      <c r="K329">
        <f>(CSV_Import!$N$2-CSV_Import!N327)</f>
        <v>0</v>
      </c>
      <c r="L329">
        <f>(CSV_Import!$AE$2-CSV_Import!AE327)</f>
        <v>0</v>
      </c>
    </row>
    <row r="330" spans="2:12" x14ac:dyDescent="0.3">
      <c r="B330">
        <f>(CSV_Import!G328-CSV_Import!$G$2)/1000</f>
        <v>0</v>
      </c>
      <c r="D330">
        <f>ROUND(TAN(RADIANS(CSV_Import!D328))*((Auswertung!$C$7*100)/2-Auswertung!$C$8),3)</f>
        <v>0</v>
      </c>
      <c r="E330">
        <f>ROUND(TAN(RADIANS(CSV_Import!U328))*((Auswertung!$C$7/2)*100-Auswertung!$C$8),3)</f>
        <v>0</v>
      </c>
      <c r="F330">
        <f>ROUND(TAN(RADIANS(CSV_Import!B328))*((Auswertung!$C$7/2)*100-Auswertung!$C$8),3)</f>
        <v>0</v>
      </c>
      <c r="G330">
        <f>ROUND(TAN(RADIANS(CSV_Import!S328))*((Auswertung!$C$7/2)*100-Auswertung!$C$8),3)</f>
        <v>0</v>
      </c>
      <c r="H330">
        <f>ROUND(TAN(RADIANS(CSV_Import!E328))*((Auswertung!$C$7/2)*100-Auswertung!$C$8),3)</f>
        <v>0</v>
      </c>
      <c r="I330">
        <f>ROUND(TAN(RADIANS(CSV_Import!V328))*((Auswertung!$C$7/2)*100-Auswertung!$C$8),3)</f>
        <v>0</v>
      </c>
      <c r="K330">
        <f>(CSV_Import!$N$2-CSV_Import!N328)</f>
        <v>0</v>
      </c>
      <c r="L330">
        <f>(CSV_Import!$AE$2-CSV_Import!AE328)</f>
        <v>0</v>
      </c>
    </row>
    <row r="331" spans="2:12" x14ac:dyDescent="0.3">
      <c r="B331">
        <f>(CSV_Import!G329-CSV_Import!$G$2)/1000</f>
        <v>0</v>
      </c>
      <c r="D331">
        <f>ROUND(TAN(RADIANS(CSV_Import!D329))*((Auswertung!$C$7*100)/2-Auswertung!$C$8),3)</f>
        <v>0</v>
      </c>
      <c r="E331">
        <f>ROUND(TAN(RADIANS(CSV_Import!U329))*((Auswertung!$C$7/2)*100-Auswertung!$C$8),3)</f>
        <v>0</v>
      </c>
      <c r="F331">
        <f>ROUND(TAN(RADIANS(CSV_Import!B329))*((Auswertung!$C$7/2)*100-Auswertung!$C$8),3)</f>
        <v>0</v>
      </c>
      <c r="G331">
        <f>ROUND(TAN(RADIANS(CSV_Import!S329))*((Auswertung!$C$7/2)*100-Auswertung!$C$8),3)</f>
        <v>0</v>
      </c>
      <c r="H331">
        <f>ROUND(TAN(RADIANS(CSV_Import!E329))*((Auswertung!$C$7/2)*100-Auswertung!$C$8),3)</f>
        <v>0</v>
      </c>
      <c r="I331">
        <f>ROUND(TAN(RADIANS(CSV_Import!V329))*((Auswertung!$C$7/2)*100-Auswertung!$C$8),3)</f>
        <v>0</v>
      </c>
      <c r="K331">
        <f>(CSV_Import!$N$2-CSV_Import!N329)</f>
        <v>0</v>
      </c>
      <c r="L331">
        <f>(CSV_Import!$AE$2-CSV_Import!AE329)</f>
        <v>0</v>
      </c>
    </row>
    <row r="332" spans="2:12" x14ac:dyDescent="0.3">
      <c r="B332">
        <f>(CSV_Import!G330-CSV_Import!$G$2)/1000</f>
        <v>0</v>
      </c>
      <c r="D332">
        <f>ROUND(TAN(RADIANS(CSV_Import!D330))*((Auswertung!$C$7*100)/2-Auswertung!$C$8),3)</f>
        <v>0</v>
      </c>
      <c r="E332">
        <f>ROUND(TAN(RADIANS(CSV_Import!U330))*((Auswertung!$C$7/2)*100-Auswertung!$C$8),3)</f>
        <v>0</v>
      </c>
      <c r="F332">
        <f>ROUND(TAN(RADIANS(CSV_Import!B330))*((Auswertung!$C$7/2)*100-Auswertung!$C$8),3)</f>
        <v>0</v>
      </c>
      <c r="G332">
        <f>ROUND(TAN(RADIANS(CSV_Import!S330))*((Auswertung!$C$7/2)*100-Auswertung!$C$8),3)</f>
        <v>0</v>
      </c>
      <c r="H332">
        <f>ROUND(TAN(RADIANS(CSV_Import!E330))*((Auswertung!$C$7/2)*100-Auswertung!$C$8),3)</f>
        <v>0</v>
      </c>
      <c r="I332">
        <f>ROUND(TAN(RADIANS(CSV_Import!V330))*((Auswertung!$C$7/2)*100-Auswertung!$C$8),3)</f>
        <v>0</v>
      </c>
      <c r="K332">
        <f>(CSV_Import!$N$2-CSV_Import!N330)</f>
        <v>0</v>
      </c>
      <c r="L332">
        <f>(CSV_Import!$AE$2-CSV_Import!AE330)</f>
        <v>0</v>
      </c>
    </row>
    <row r="333" spans="2:12" x14ac:dyDescent="0.3">
      <c r="B333">
        <f>(CSV_Import!G331-CSV_Import!$G$2)/1000</f>
        <v>0</v>
      </c>
      <c r="D333">
        <f>ROUND(TAN(RADIANS(CSV_Import!D331))*((Auswertung!$C$7*100)/2-Auswertung!$C$8),3)</f>
        <v>0</v>
      </c>
      <c r="E333">
        <f>ROUND(TAN(RADIANS(CSV_Import!U331))*((Auswertung!$C$7/2)*100-Auswertung!$C$8),3)</f>
        <v>0</v>
      </c>
      <c r="F333">
        <f>ROUND(TAN(RADIANS(CSV_Import!B331))*((Auswertung!$C$7/2)*100-Auswertung!$C$8),3)</f>
        <v>0</v>
      </c>
      <c r="G333">
        <f>ROUND(TAN(RADIANS(CSV_Import!S331))*((Auswertung!$C$7/2)*100-Auswertung!$C$8),3)</f>
        <v>0</v>
      </c>
      <c r="H333">
        <f>ROUND(TAN(RADIANS(CSV_Import!E331))*((Auswertung!$C$7/2)*100-Auswertung!$C$8),3)</f>
        <v>0</v>
      </c>
      <c r="I333">
        <f>ROUND(TAN(RADIANS(CSV_Import!V331))*((Auswertung!$C$7/2)*100-Auswertung!$C$8),3)</f>
        <v>0</v>
      </c>
      <c r="K333">
        <f>(CSV_Import!$N$2-CSV_Import!N331)</f>
        <v>0</v>
      </c>
      <c r="L333">
        <f>(CSV_Import!$AE$2-CSV_Import!AE331)</f>
        <v>0</v>
      </c>
    </row>
    <row r="334" spans="2:12" x14ac:dyDescent="0.3">
      <c r="B334">
        <f>(CSV_Import!G332-CSV_Import!$G$2)/1000</f>
        <v>0</v>
      </c>
      <c r="D334">
        <f>ROUND(TAN(RADIANS(CSV_Import!D332))*((Auswertung!$C$7*100)/2-Auswertung!$C$8),3)</f>
        <v>0</v>
      </c>
      <c r="E334">
        <f>ROUND(TAN(RADIANS(CSV_Import!U332))*((Auswertung!$C$7/2)*100-Auswertung!$C$8),3)</f>
        <v>0</v>
      </c>
      <c r="F334">
        <f>ROUND(TAN(RADIANS(CSV_Import!B332))*((Auswertung!$C$7/2)*100-Auswertung!$C$8),3)</f>
        <v>0</v>
      </c>
      <c r="G334">
        <f>ROUND(TAN(RADIANS(CSV_Import!S332))*((Auswertung!$C$7/2)*100-Auswertung!$C$8),3)</f>
        <v>0</v>
      </c>
      <c r="H334">
        <f>ROUND(TAN(RADIANS(CSV_Import!E332))*((Auswertung!$C$7/2)*100-Auswertung!$C$8),3)</f>
        <v>0</v>
      </c>
      <c r="I334">
        <f>ROUND(TAN(RADIANS(CSV_Import!V332))*((Auswertung!$C$7/2)*100-Auswertung!$C$8),3)</f>
        <v>0</v>
      </c>
      <c r="K334">
        <f>(CSV_Import!$N$2-CSV_Import!N332)</f>
        <v>0</v>
      </c>
      <c r="L334">
        <f>(CSV_Import!$AE$2-CSV_Import!AE332)</f>
        <v>0</v>
      </c>
    </row>
    <row r="335" spans="2:12" x14ac:dyDescent="0.3">
      <c r="B335">
        <f>(CSV_Import!G333-CSV_Import!$G$2)/1000</f>
        <v>0</v>
      </c>
      <c r="D335">
        <f>ROUND(TAN(RADIANS(CSV_Import!D333))*((Auswertung!$C$7*100)/2-Auswertung!$C$8),3)</f>
        <v>0</v>
      </c>
      <c r="E335">
        <f>ROUND(TAN(RADIANS(CSV_Import!U333))*((Auswertung!$C$7/2)*100-Auswertung!$C$8),3)</f>
        <v>0</v>
      </c>
      <c r="F335">
        <f>ROUND(TAN(RADIANS(CSV_Import!B333))*((Auswertung!$C$7/2)*100-Auswertung!$C$8),3)</f>
        <v>0</v>
      </c>
      <c r="G335">
        <f>ROUND(TAN(RADIANS(CSV_Import!S333))*((Auswertung!$C$7/2)*100-Auswertung!$C$8),3)</f>
        <v>0</v>
      </c>
      <c r="H335">
        <f>ROUND(TAN(RADIANS(CSV_Import!E333))*((Auswertung!$C$7/2)*100-Auswertung!$C$8),3)</f>
        <v>0</v>
      </c>
      <c r="I335">
        <f>ROUND(TAN(RADIANS(CSV_Import!V333))*((Auswertung!$C$7/2)*100-Auswertung!$C$8),3)</f>
        <v>0</v>
      </c>
      <c r="K335">
        <f>(CSV_Import!$N$2-CSV_Import!N333)</f>
        <v>0</v>
      </c>
      <c r="L335">
        <f>(CSV_Import!$AE$2-CSV_Import!AE333)</f>
        <v>0</v>
      </c>
    </row>
    <row r="336" spans="2:12" x14ac:dyDescent="0.3">
      <c r="B336">
        <f>(CSV_Import!G334-CSV_Import!$G$2)/1000</f>
        <v>0</v>
      </c>
      <c r="D336">
        <f>ROUND(TAN(RADIANS(CSV_Import!D334))*((Auswertung!$C$7*100)/2-Auswertung!$C$8),3)</f>
        <v>0</v>
      </c>
      <c r="E336">
        <f>ROUND(TAN(RADIANS(CSV_Import!U334))*((Auswertung!$C$7/2)*100-Auswertung!$C$8),3)</f>
        <v>0</v>
      </c>
      <c r="F336">
        <f>ROUND(TAN(RADIANS(CSV_Import!B334))*((Auswertung!$C$7/2)*100-Auswertung!$C$8),3)</f>
        <v>0</v>
      </c>
      <c r="G336">
        <f>ROUND(TAN(RADIANS(CSV_Import!S334))*((Auswertung!$C$7/2)*100-Auswertung!$C$8),3)</f>
        <v>0</v>
      </c>
      <c r="H336">
        <f>ROUND(TAN(RADIANS(CSV_Import!E334))*((Auswertung!$C$7/2)*100-Auswertung!$C$8),3)</f>
        <v>0</v>
      </c>
      <c r="I336">
        <f>ROUND(TAN(RADIANS(CSV_Import!V334))*((Auswertung!$C$7/2)*100-Auswertung!$C$8),3)</f>
        <v>0</v>
      </c>
      <c r="K336">
        <f>(CSV_Import!$N$2-CSV_Import!N334)</f>
        <v>0</v>
      </c>
      <c r="L336">
        <f>(CSV_Import!$AE$2-CSV_Import!AE334)</f>
        <v>0</v>
      </c>
    </row>
    <row r="337" spans="2:12" x14ac:dyDescent="0.3">
      <c r="B337">
        <f>(CSV_Import!G335-CSV_Import!$G$2)/1000</f>
        <v>0</v>
      </c>
      <c r="D337">
        <f>ROUND(TAN(RADIANS(CSV_Import!D335))*((Auswertung!$C$7*100)/2-Auswertung!$C$8),3)</f>
        <v>0</v>
      </c>
      <c r="E337">
        <f>ROUND(TAN(RADIANS(CSV_Import!U335))*((Auswertung!$C$7/2)*100-Auswertung!$C$8),3)</f>
        <v>0</v>
      </c>
      <c r="F337">
        <f>ROUND(TAN(RADIANS(CSV_Import!B335))*((Auswertung!$C$7/2)*100-Auswertung!$C$8),3)</f>
        <v>0</v>
      </c>
      <c r="G337">
        <f>ROUND(TAN(RADIANS(CSV_Import!S335))*((Auswertung!$C$7/2)*100-Auswertung!$C$8),3)</f>
        <v>0</v>
      </c>
      <c r="H337">
        <f>ROUND(TAN(RADIANS(CSV_Import!E335))*((Auswertung!$C$7/2)*100-Auswertung!$C$8),3)</f>
        <v>0</v>
      </c>
      <c r="I337">
        <f>ROUND(TAN(RADIANS(CSV_Import!V335))*((Auswertung!$C$7/2)*100-Auswertung!$C$8),3)</f>
        <v>0</v>
      </c>
      <c r="K337">
        <f>(CSV_Import!$N$2-CSV_Import!N335)</f>
        <v>0</v>
      </c>
      <c r="L337">
        <f>(CSV_Import!$AE$2-CSV_Import!AE335)</f>
        <v>0</v>
      </c>
    </row>
    <row r="338" spans="2:12" x14ac:dyDescent="0.3">
      <c r="B338">
        <f>(CSV_Import!G336-CSV_Import!$G$2)/1000</f>
        <v>0</v>
      </c>
      <c r="D338">
        <f>ROUND(TAN(RADIANS(CSV_Import!D336))*((Auswertung!$C$7*100)/2-Auswertung!$C$8),3)</f>
        <v>0</v>
      </c>
      <c r="E338">
        <f>ROUND(TAN(RADIANS(CSV_Import!U336))*((Auswertung!$C$7/2)*100-Auswertung!$C$8),3)</f>
        <v>0</v>
      </c>
      <c r="F338">
        <f>ROUND(TAN(RADIANS(CSV_Import!B336))*((Auswertung!$C$7/2)*100-Auswertung!$C$8),3)</f>
        <v>0</v>
      </c>
      <c r="G338">
        <f>ROUND(TAN(RADIANS(CSV_Import!S336))*((Auswertung!$C$7/2)*100-Auswertung!$C$8),3)</f>
        <v>0</v>
      </c>
      <c r="H338">
        <f>ROUND(TAN(RADIANS(CSV_Import!E336))*((Auswertung!$C$7/2)*100-Auswertung!$C$8),3)</f>
        <v>0</v>
      </c>
      <c r="I338">
        <f>ROUND(TAN(RADIANS(CSV_Import!V336))*((Auswertung!$C$7/2)*100-Auswertung!$C$8),3)</f>
        <v>0</v>
      </c>
      <c r="K338">
        <f>(CSV_Import!$N$2-CSV_Import!N336)</f>
        <v>0</v>
      </c>
      <c r="L338">
        <f>(CSV_Import!$AE$2-CSV_Import!AE336)</f>
        <v>0</v>
      </c>
    </row>
    <row r="339" spans="2:12" x14ac:dyDescent="0.3">
      <c r="B339">
        <f>(CSV_Import!G337-CSV_Import!$G$2)/1000</f>
        <v>0</v>
      </c>
      <c r="D339">
        <f>ROUND(TAN(RADIANS(CSV_Import!D337))*((Auswertung!$C$7*100)/2-Auswertung!$C$8),3)</f>
        <v>0</v>
      </c>
      <c r="E339">
        <f>ROUND(TAN(RADIANS(CSV_Import!U337))*((Auswertung!$C$7/2)*100-Auswertung!$C$8),3)</f>
        <v>0</v>
      </c>
      <c r="F339">
        <f>ROUND(TAN(RADIANS(CSV_Import!B337))*((Auswertung!$C$7/2)*100-Auswertung!$C$8),3)</f>
        <v>0</v>
      </c>
      <c r="G339">
        <f>ROUND(TAN(RADIANS(CSV_Import!S337))*((Auswertung!$C$7/2)*100-Auswertung!$C$8),3)</f>
        <v>0</v>
      </c>
      <c r="H339">
        <f>ROUND(TAN(RADIANS(CSV_Import!E337))*((Auswertung!$C$7/2)*100-Auswertung!$C$8),3)</f>
        <v>0</v>
      </c>
      <c r="I339">
        <f>ROUND(TAN(RADIANS(CSV_Import!V337))*((Auswertung!$C$7/2)*100-Auswertung!$C$8),3)</f>
        <v>0</v>
      </c>
      <c r="K339">
        <f>(CSV_Import!$N$2-CSV_Import!N337)</f>
        <v>0</v>
      </c>
      <c r="L339">
        <f>(CSV_Import!$AE$2-CSV_Import!AE337)</f>
        <v>0</v>
      </c>
    </row>
    <row r="340" spans="2:12" x14ac:dyDescent="0.3">
      <c r="B340">
        <f>(CSV_Import!G338-CSV_Import!$G$2)/1000</f>
        <v>0</v>
      </c>
      <c r="D340">
        <f>ROUND(TAN(RADIANS(CSV_Import!D338))*((Auswertung!$C$7*100)/2-Auswertung!$C$8),3)</f>
        <v>0</v>
      </c>
      <c r="E340">
        <f>ROUND(TAN(RADIANS(CSV_Import!U338))*((Auswertung!$C$7/2)*100-Auswertung!$C$8),3)</f>
        <v>0</v>
      </c>
      <c r="F340">
        <f>ROUND(TAN(RADIANS(CSV_Import!B338))*((Auswertung!$C$7/2)*100-Auswertung!$C$8),3)</f>
        <v>0</v>
      </c>
      <c r="G340">
        <f>ROUND(TAN(RADIANS(CSV_Import!S338))*((Auswertung!$C$7/2)*100-Auswertung!$C$8),3)</f>
        <v>0</v>
      </c>
      <c r="H340">
        <f>ROUND(TAN(RADIANS(CSV_Import!E338))*((Auswertung!$C$7/2)*100-Auswertung!$C$8),3)</f>
        <v>0</v>
      </c>
      <c r="I340">
        <f>ROUND(TAN(RADIANS(CSV_Import!V338))*((Auswertung!$C$7/2)*100-Auswertung!$C$8),3)</f>
        <v>0</v>
      </c>
      <c r="K340">
        <f>(CSV_Import!$N$2-CSV_Import!N338)</f>
        <v>0</v>
      </c>
      <c r="L340">
        <f>(CSV_Import!$AE$2-CSV_Import!AE338)</f>
        <v>0</v>
      </c>
    </row>
    <row r="341" spans="2:12" x14ac:dyDescent="0.3">
      <c r="B341">
        <f>(CSV_Import!G339-CSV_Import!$G$2)/1000</f>
        <v>0</v>
      </c>
      <c r="D341">
        <f>ROUND(TAN(RADIANS(CSV_Import!D339))*((Auswertung!$C$7*100)/2-Auswertung!$C$8),3)</f>
        <v>0</v>
      </c>
      <c r="E341">
        <f>ROUND(TAN(RADIANS(CSV_Import!U339))*((Auswertung!$C$7/2)*100-Auswertung!$C$8),3)</f>
        <v>0</v>
      </c>
      <c r="F341">
        <f>ROUND(TAN(RADIANS(CSV_Import!B339))*((Auswertung!$C$7/2)*100-Auswertung!$C$8),3)</f>
        <v>0</v>
      </c>
      <c r="G341">
        <f>ROUND(TAN(RADIANS(CSV_Import!S339))*((Auswertung!$C$7/2)*100-Auswertung!$C$8),3)</f>
        <v>0</v>
      </c>
      <c r="H341">
        <f>ROUND(TAN(RADIANS(CSV_Import!E339))*((Auswertung!$C$7/2)*100-Auswertung!$C$8),3)</f>
        <v>0</v>
      </c>
      <c r="I341">
        <f>ROUND(TAN(RADIANS(CSV_Import!V339))*((Auswertung!$C$7/2)*100-Auswertung!$C$8),3)</f>
        <v>0</v>
      </c>
      <c r="K341">
        <f>(CSV_Import!$N$2-CSV_Import!N339)</f>
        <v>0</v>
      </c>
      <c r="L341">
        <f>(CSV_Import!$AE$2-CSV_Import!AE339)</f>
        <v>0</v>
      </c>
    </row>
    <row r="342" spans="2:12" x14ac:dyDescent="0.3">
      <c r="B342">
        <f>(CSV_Import!G340-CSV_Import!$G$2)/1000</f>
        <v>0</v>
      </c>
      <c r="D342">
        <f>ROUND(TAN(RADIANS(CSV_Import!D340))*((Auswertung!$C$7*100)/2-Auswertung!$C$8),3)</f>
        <v>0</v>
      </c>
      <c r="E342">
        <f>ROUND(TAN(RADIANS(CSV_Import!U340))*((Auswertung!$C$7/2)*100-Auswertung!$C$8),3)</f>
        <v>0</v>
      </c>
      <c r="F342">
        <f>ROUND(TAN(RADIANS(CSV_Import!B340))*((Auswertung!$C$7/2)*100-Auswertung!$C$8),3)</f>
        <v>0</v>
      </c>
      <c r="G342">
        <f>ROUND(TAN(RADIANS(CSV_Import!S340))*((Auswertung!$C$7/2)*100-Auswertung!$C$8),3)</f>
        <v>0</v>
      </c>
      <c r="H342">
        <f>ROUND(TAN(RADIANS(CSV_Import!E340))*((Auswertung!$C$7/2)*100-Auswertung!$C$8),3)</f>
        <v>0</v>
      </c>
      <c r="I342">
        <f>ROUND(TAN(RADIANS(CSV_Import!V340))*((Auswertung!$C$7/2)*100-Auswertung!$C$8),3)</f>
        <v>0</v>
      </c>
      <c r="K342">
        <f>(CSV_Import!$N$2-CSV_Import!N340)</f>
        <v>0</v>
      </c>
      <c r="L342">
        <f>(CSV_Import!$AE$2-CSV_Import!AE340)</f>
        <v>0</v>
      </c>
    </row>
    <row r="343" spans="2:12" x14ac:dyDescent="0.3">
      <c r="B343">
        <f>(CSV_Import!G341-CSV_Import!$G$2)/1000</f>
        <v>0</v>
      </c>
      <c r="D343">
        <f>ROUND(TAN(RADIANS(CSV_Import!D341))*((Auswertung!$C$7*100)/2-Auswertung!$C$8),3)</f>
        <v>0</v>
      </c>
      <c r="E343">
        <f>ROUND(TAN(RADIANS(CSV_Import!U341))*((Auswertung!$C$7/2)*100-Auswertung!$C$8),3)</f>
        <v>0</v>
      </c>
      <c r="F343">
        <f>ROUND(TAN(RADIANS(CSV_Import!B341))*((Auswertung!$C$7/2)*100-Auswertung!$C$8),3)</f>
        <v>0</v>
      </c>
      <c r="G343">
        <f>ROUND(TAN(RADIANS(CSV_Import!S341))*((Auswertung!$C$7/2)*100-Auswertung!$C$8),3)</f>
        <v>0</v>
      </c>
      <c r="H343">
        <f>ROUND(TAN(RADIANS(CSV_Import!E341))*((Auswertung!$C$7/2)*100-Auswertung!$C$8),3)</f>
        <v>0</v>
      </c>
      <c r="I343">
        <f>ROUND(TAN(RADIANS(CSV_Import!V341))*((Auswertung!$C$7/2)*100-Auswertung!$C$8),3)</f>
        <v>0</v>
      </c>
      <c r="K343">
        <f>(CSV_Import!$N$2-CSV_Import!N341)</f>
        <v>0</v>
      </c>
      <c r="L343">
        <f>(CSV_Import!$AE$2-CSV_Import!AE341)</f>
        <v>0</v>
      </c>
    </row>
    <row r="344" spans="2:12" x14ac:dyDescent="0.3">
      <c r="B344">
        <f>(CSV_Import!G342-CSV_Import!$G$2)/1000</f>
        <v>0</v>
      </c>
      <c r="D344">
        <f>ROUND(TAN(RADIANS(CSV_Import!D342))*((Auswertung!$C$7*100)/2-Auswertung!$C$8),3)</f>
        <v>0</v>
      </c>
      <c r="E344">
        <f>ROUND(TAN(RADIANS(CSV_Import!U342))*((Auswertung!$C$7/2)*100-Auswertung!$C$8),3)</f>
        <v>0</v>
      </c>
      <c r="F344">
        <f>ROUND(TAN(RADIANS(CSV_Import!B342))*((Auswertung!$C$7/2)*100-Auswertung!$C$8),3)</f>
        <v>0</v>
      </c>
      <c r="G344">
        <f>ROUND(TAN(RADIANS(CSV_Import!S342))*((Auswertung!$C$7/2)*100-Auswertung!$C$8),3)</f>
        <v>0</v>
      </c>
      <c r="H344">
        <f>ROUND(TAN(RADIANS(CSV_Import!E342))*((Auswertung!$C$7/2)*100-Auswertung!$C$8),3)</f>
        <v>0</v>
      </c>
      <c r="I344">
        <f>ROUND(TAN(RADIANS(CSV_Import!V342))*((Auswertung!$C$7/2)*100-Auswertung!$C$8),3)</f>
        <v>0</v>
      </c>
      <c r="K344">
        <f>(CSV_Import!$N$2-CSV_Import!N342)</f>
        <v>0</v>
      </c>
      <c r="L344">
        <f>(CSV_Import!$AE$2-CSV_Import!AE342)</f>
        <v>0</v>
      </c>
    </row>
    <row r="345" spans="2:12" x14ac:dyDescent="0.3">
      <c r="B345">
        <f>(CSV_Import!G343-CSV_Import!$G$2)/1000</f>
        <v>0</v>
      </c>
      <c r="D345">
        <f>ROUND(TAN(RADIANS(CSV_Import!D343))*((Auswertung!$C$7*100)/2-Auswertung!$C$8),3)</f>
        <v>0</v>
      </c>
      <c r="E345">
        <f>ROUND(TAN(RADIANS(CSV_Import!U343))*((Auswertung!$C$7/2)*100-Auswertung!$C$8),3)</f>
        <v>0</v>
      </c>
      <c r="F345">
        <f>ROUND(TAN(RADIANS(CSV_Import!B343))*((Auswertung!$C$7/2)*100-Auswertung!$C$8),3)</f>
        <v>0</v>
      </c>
      <c r="G345">
        <f>ROUND(TAN(RADIANS(CSV_Import!S343))*((Auswertung!$C$7/2)*100-Auswertung!$C$8),3)</f>
        <v>0</v>
      </c>
      <c r="H345">
        <f>ROUND(TAN(RADIANS(CSV_Import!E343))*((Auswertung!$C$7/2)*100-Auswertung!$C$8),3)</f>
        <v>0</v>
      </c>
      <c r="I345">
        <f>ROUND(TAN(RADIANS(CSV_Import!V343))*((Auswertung!$C$7/2)*100-Auswertung!$C$8),3)</f>
        <v>0</v>
      </c>
      <c r="K345">
        <f>(CSV_Import!$N$2-CSV_Import!N343)</f>
        <v>0</v>
      </c>
      <c r="L345">
        <f>(CSV_Import!$AE$2-CSV_Import!AE343)</f>
        <v>0</v>
      </c>
    </row>
    <row r="346" spans="2:12" x14ac:dyDescent="0.3">
      <c r="B346">
        <f>(CSV_Import!G344-CSV_Import!$G$2)/1000</f>
        <v>0</v>
      </c>
      <c r="D346">
        <f>ROUND(TAN(RADIANS(CSV_Import!D344))*((Auswertung!$C$7*100)/2-Auswertung!$C$8),3)</f>
        <v>0</v>
      </c>
      <c r="E346">
        <f>ROUND(TAN(RADIANS(CSV_Import!U344))*((Auswertung!$C$7/2)*100-Auswertung!$C$8),3)</f>
        <v>0</v>
      </c>
      <c r="F346">
        <f>ROUND(TAN(RADIANS(CSV_Import!B344))*((Auswertung!$C$7/2)*100-Auswertung!$C$8),3)</f>
        <v>0</v>
      </c>
      <c r="G346">
        <f>ROUND(TAN(RADIANS(CSV_Import!S344))*((Auswertung!$C$7/2)*100-Auswertung!$C$8),3)</f>
        <v>0</v>
      </c>
      <c r="H346">
        <f>ROUND(TAN(RADIANS(CSV_Import!E344))*((Auswertung!$C$7/2)*100-Auswertung!$C$8),3)</f>
        <v>0</v>
      </c>
      <c r="I346">
        <f>ROUND(TAN(RADIANS(CSV_Import!V344))*((Auswertung!$C$7/2)*100-Auswertung!$C$8),3)</f>
        <v>0</v>
      </c>
      <c r="K346">
        <f>(CSV_Import!$N$2-CSV_Import!N344)</f>
        <v>0</v>
      </c>
      <c r="L346">
        <f>(CSV_Import!$AE$2-CSV_Import!AE344)</f>
        <v>0</v>
      </c>
    </row>
    <row r="347" spans="2:12" x14ac:dyDescent="0.3">
      <c r="B347">
        <f>(CSV_Import!G345-CSV_Import!$G$2)/1000</f>
        <v>0</v>
      </c>
      <c r="D347">
        <f>ROUND(TAN(RADIANS(CSV_Import!D345))*((Auswertung!$C$7*100)/2-Auswertung!$C$8),3)</f>
        <v>0</v>
      </c>
      <c r="E347">
        <f>ROUND(TAN(RADIANS(CSV_Import!U345))*((Auswertung!$C$7/2)*100-Auswertung!$C$8),3)</f>
        <v>0</v>
      </c>
      <c r="F347">
        <f>ROUND(TAN(RADIANS(CSV_Import!B345))*((Auswertung!$C$7/2)*100-Auswertung!$C$8),3)</f>
        <v>0</v>
      </c>
      <c r="G347">
        <f>ROUND(TAN(RADIANS(CSV_Import!S345))*((Auswertung!$C$7/2)*100-Auswertung!$C$8),3)</f>
        <v>0</v>
      </c>
      <c r="H347">
        <f>ROUND(TAN(RADIANS(CSV_Import!E345))*((Auswertung!$C$7/2)*100-Auswertung!$C$8),3)</f>
        <v>0</v>
      </c>
      <c r="I347">
        <f>ROUND(TAN(RADIANS(CSV_Import!V345))*((Auswertung!$C$7/2)*100-Auswertung!$C$8),3)</f>
        <v>0</v>
      </c>
      <c r="K347">
        <f>(CSV_Import!$N$2-CSV_Import!N345)</f>
        <v>0</v>
      </c>
      <c r="L347">
        <f>(CSV_Import!$AE$2-CSV_Import!AE345)</f>
        <v>0</v>
      </c>
    </row>
    <row r="348" spans="2:12" x14ac:dyDescent="0.3">
      <c r="B348">
        <f>(CSV_Import!G346-CSV_Import!$G$2)/1000</f>
        <v>0</v>
      </c>
      <c r="D348">
        <f>ROUND(TAN(RADIANS(CSV_Import!D346))*((Auswertung!$C$7*100)/2-Auswertung!$C$8),3)</f>
        <v>0</v>
      </c>
      <c r="E348">
        <f>ROUND(TAN(RADIANS(CSV_Import!U346))*((Auswertung!$C$7/2)*100-Auswertung!$C$8),3)</f>
        <v>0</v>
      </c>
      <c r="F348">
        <f>ROUND(TAN(RADIANS(CSV_Import!B346))*((Auswertung!$C$7/2)*100-Auswertung!$C$8),3)</f>
        <v>0</v>
      </c>
      <c r="G348">
        <f>ROUND(TAN(RADIANS(CSV_Import!S346))*((Auswertung!$C$7/2)*100-Auswertung!$C$8),3)</f>
        <v>0</v>
      </c>
      <c r="H348">
        <f>ROUND(TAN(RADIANS(CSV_Import!E346))*((Auswertung!$C$7/2)*100-Auswertung!$C$8),3)</f>
        <v>0</v>
      </c>
      <c r="I348">
        <f>ROUND(TAN(RADIANS(CSV_Import!V346))*((Auswertung!$C$7/2)*100-Auswertung!$C$8),3)</f>
        <v>0</v>
      </c>
      <c r="K348">
        <f>(CSV_Import!$N$2-CSV_Import!N346)</f>
        <v>0</v>
      </c>
      <c r="L348">
        <f>(CSV_Import!$AE$2-CSV_Import!AE346)</f>
        <v>0</v>
      </c>
    </row>
    <row r="349" spans="2:12" x14ac:dyDescent="0.3">
      <c r="B349">
        <f>(CSV_Import!G347-CSV_Import!$G$2)/1000</f>
        <v>0</v>
      </c>
      <c r="D349">
        <f>ROUND(TAN(RADIANS(CSV_Import!D347))*((Auswertung!$C$7*100)/2-Auswertung!$C$8),3)</f>
        <v>0</v>
      </c>
      <c r="E349">
        <f>ROUND(TAN(RADIANS(CSV_Import!U347))*((Auswertung!$C$7/2)*100-Auswertung!$C$8),3)</f>
        <v>0</v>
      </c>
      <c r="F349">
        <f>ROUND(TAN(RADIANS(CSV_Import!B347))*((Auswertung!$C$7/2)*100-Auswertung!$C$8),3)</f>
        <v>0</v>
      </c>
      <c r="G349">
        <f>ROUND(TAN(RADIANS(CSV_Import!S347))*((Auswertung!$C$7/2)*100-Auswertung!$C$8),3)</f>
        <v>0</v>
      </c>
      <c r="H349">
        <f>ROUND(TAN(RADIANS(CSV_Import!E347))*((Auswertung!$C$7/2)*100-Auswertung!$C$8),3)</f>
        <v>0</v>
      </c>
      <c r="I349">
        <f>ROUND(TAN(RADIANS(CSV_Import!V347))*((Auswertung!$C$7/2)*100-Auswertung!$C$8),3)</f>
        <v>0</v>
      </c>
      <c r="K349">
        <f>(CSV_Import!$N$2-CSV_Import!N347)</f>
        <v>0</v>
      </c>
      <c r="L349">
        <f>(CSV_Import!$AE$2-CSV_Import!AE347)</f>
        <v>0</v>
      </c>
    </row>
    <row r="350" spans="2:12" x14ac:dyDescent="0.3">
      <c r="B350">
        <f>(CSV_Import!G348-CSV_Import!$G$2)/1000</f>
        <v>0</v>
      </c>
      <c r="D350">
        <f>ROUND(TAN(RADIANS(CSV_Import!D348))*((Auswertung!$C$7*100)/2-Auswertung!$C$8),3)</f>
        <v>0</v>
      </c>
      <c r="E350">
        <f>ROUND(TAN(RADIANS(CSV_Import!U348))*((Auswertung!$C$7/2)*100-Auswertung!$C$8),3)</f>
        <v>0</v>
      </c>
      <c r="F350">
        <f>ROUND(TAN(RADIANS(CSV_Import!B348))*((Auswertung!$C$7/2)*100-Auswertung!$C$8),3)</f>
        <v>0</v>
      </c>
      <c r="G350">
        <f>ROUND(TAN(RADIANS(CSV_Import!S348))*((Auswertung!$C$7/2)*100-Auswertung!$C$8),3)</f>
        <v>0</v>
      </c>
      <c r="H350">
        <f>ROUND(TAN(RADIANS(CSV_Import!E348))*((Auswertung!$C$7/2)*100-Auswertung!$C$8),3)</f>
        <v>0</v>
      </c>
      <c r="I350">
        <f>ROUND(TAN(RADIANS(CSV_Import!V348))*((Auswertung!$C$7/2)*100-Auswertung!$C$8),3)</f>
        <v>0</v>
      </c>
      <c r="K350">
        <f>(CSV_Import!$N$2-CSV_Import!N348)</f>
        <v>0</v>
      </c>
      <c r="L350">
        <f>(CSV_Import!$AE$2-CSV_Import!AE348)</f>
        <v>0</v>
      </c>
    </row>
    <row r="351" spans="2:12" x14ac:dyDescent="0.3">
      <c r="B351">
        <f>(CSV_Import!G349-CSV_Import!$G$2)/1000</f>
        <v>0</v>
      </c>
      <c r="D351">
        <f>ROUND(TAN(RADIANS(CSV_Import!D349))*((Auswertung!$C$7*100)/2-Auswertung!$C$8),3)</f>
        <v>0</v>
      </c>
      <c r="E351">
        <f>ROUND(TAN(RADIANS(CSV_Import!U349))*((Auswertung!$C$7/2)*100-Auswertung!$C$8),3)</f>
        <v>0</v>
      </c>
      <c r="F351">
        <f>ROUND(TAN(RADIANS(CSV_Import!B349))*((Auswertung!$C$7/2)*100-Auswertung!$C$8),3)</f>
        <v>0</v>
      </c>
      <c r="G351">
        <f>ROUND(TAN(RADIANS(CSV_Import!S349))*((Auswertung!$C$7/2)*100-Auswertung!$C$8),3)</f>
        <v>0</v>
      </c>
      <c r="H351">
        <f>ROUND(TAN(RADIANS(CSV_Import!E349))*((Auswertung!$C$7/2)*100-Auswertung!$C$8),3)</f>
        <v>0</v>
      </c>
      <c r="I351">
        <f>ROUND(TAN(RADIANS(CSV_Import!V349))*((Auswertung!$C$7/2)*100-Auswertung!$C$8),3)</f>
        <v>0</v>
      </c>
      <c r="K351">
        <f>(CSV_Import!$N$2-CSV_Import!N349)</f>
        <v>0</v>
      </c>
      <c r="L351">
        <f>(CSV_Import!$AE$2-CSV_Import!AE349)</f>
        <v>0</v>
      </c>
    </row>
    <row r="352" spans="2:12" x14ac:dyDescent="0.3">
      <c r="B352">
        <f>(CSV_Import!G350-CSV_Import!$G$2)/1000</f>
        <v>0</v>
      </c>
      <c r="D352">
        <f>ROUND(TAN(RADIANS(CSV_Import!D350))*((Auswertung!$C$7*100)/2-Auswertung!$C$8),3)</f>
        <v>0</v>
      </c>
      <c r="E352">
        <f>ROUND(TAN(RADIANS(CSV_Import!U350))*((Auswertung!$C$7/2)*100-Auswertung!$C$8),3)</f>
        <v>0</v>
      </c>
      <c r="F352">
        <f>ROUND(TAN(RADIANS(CSV_Import!B350))*((Auswertung!$C$7/2)*100-Auswertung!$C$8),3)</f>
        <v>0</v>
      </c>
      <c r="G352">
        <f>ROUND(TAN(RADIANS(CSV_Import!S350))*((Auswertung!$C$7/2)*100-Auswertung!$C$8),3)</f>
        <v>0</v>
      </c>
      <c r="H352">
        <f>ROUND(TAN(RADIANS(CSV_Import!E350))*((Auswertung!$C$7/2)*100-Auswertung!$C$8),3)</f>
        <v>0</v>
      </c>
      <c r="I352">
        <f>ROUND(TAN(RADIANS(CSV_Import!V350))*((Auswertung!$C$7/2)*100-Auswertung!$C$8),3)</f>
        <v>0</v>
      </c>
      <c r="K352">
        <f>(CSV_Import!$N$2-CSV_Import!N350)</f>
        <v>0</v>
      </c>
      <c r="L352">
        <f>(CSV_Import!$AE$2-CSV_Import!AE350)</f>
        <v>0</v>
      </c>
    </row>
    <row r="353" spans="2:12" x14ac:dyDescent="0.3">
      <c r="B353">
        <f>(CSV_Import!G351-CSV_Import!$G$2)/1000</f>
        <v>0</v>
      </c>
      <c r="D353">
        <f>ROUND(TAN(RADIANS(CSV_Import!D351))*((Auswertung!$C$7*100)/2-Auswertung!$C$8),3)</f>
        <v>0</v>
      </c>
      <c r="E353">
        <f>ROUND(TAN(RADIANS(CSV_Import!U351))*((Auswertung!$C$7/2)*100-Auswertung!$C$8),3)</f>
        <v>0</v>
      </c>
      <c r="F353">
        <f>ROUND(TAN(RADIANS(CSV_Import!B351))*((Auswertung!$C$7/2)*100-Auswertung!$C$8),3)</f>
        <v>0</v>
      </c>
      <c r="G353">
        <f>ROUND(TAN(RADIANS(CSV_Import!S351))*((Auswertung!$C$7/2)*100-Auswertung!$C$8),3)</f>
        <v>0</v>
      </c>
      <c r="H353">
        <f>ROUND(TAN(RADIANS(CSV_Import!E351))*((Auswertung!$C$7/2)*100-Auswertung!$C$8),3)</f>
        <v>0</v>
      </c>
      <c r="I353">
        <f>ROUND(TAN(RADIANS(CSV_Import!V351))*((Auswertung!$C$7/2)*100-Auswertung!$C$8),3)</f>
        <v>0</v>
      </c>
      <c r="K353">
        <f>(CSV_Import!$N$2-CSV_Import!N351)</f>
        <v>0</v>
      </c>
      <c r="L353">
        <f>(CSV_Import!$AE$2-CSV_Import!AE351)</f>
        <v>0</v>
      </c>
    </row>
    <row r="354" spans="2:12" x14ac:dyDescent="0.3">
      <c r="B354">
        <f>(CSV_Import!G352-CSV_Import!$G$2)/1000</f>
        <v>0</v>
      </c>
      <c r="D354">
        <f>ROUND(TAN(RADIANS(CSV_Import!D352))*((Auswertung!$C$7*100)/2-Auswertung!$C$8),3)</f>
        <v>0</v>
      </c>
      <c r="E354">
        <f>ROUND(TAN(RADIANS(CSV_Import!U352))*((Auswertung!$C$7/2)*100-Auswertung!$C$8),3)</f>
        <v>0</v>
      </c>
      <c r="F354">
        <f>ROUND(TAN(RADIANS(CSV_Import!B352))*((Auswertung!$C$7/2)*100-Auswertung!$C$8),3)</f>
        <v>0</v>
      </c>
      <c r="G354">
        <f>ROUND(TAN(RADIANS(CSV_Import!S352))*((Auswertung!$C$7/2)*100-Auswertung!$C$8),3)</f>
        <v>0</v>
      </c>
      <c r="H354">
        <f>ROUND(TAN(RADIANS(CSV_Import!E352))*((Auswertung!$C$7/2)*100-Auswertung!$C$8),3)</f>
        <v>0</v>
      </c>
      <c r="I354">
        <f>ROUND(TAN(RADIANS(CSV_Import!V352))*((Auswertung!$C$7/2)*100-Auswertung!$C$8),3)</f>
        <v>0</v>
      </c>
      <c r="K354">
        <f>(CSV_Import!$N$2-CSV_Import!N352)</f>
        <v>0</v>
      </c>
      <c r="L354">
        <f>(CSV_Import!$AE$2-CSV_Import!AE352)</f>
        <v>0</v>
      </c>
    </row>
    <row r="355" spans="2:12" x14ac:dyDescent="0.3">
      <c r="B355">
        <f>(CSV_Import!G353-CSV_Import!$G$2)/1000</f>
        <v>0</v>
      </c>
      <c r="D355">
        <f>ROUND(TAN(RADIANS(CSV_Import!D353))*((Auswertung!$C$7*100)/2-Auswertung!$C$8),3)</f>
        <v>0</v>
      </c>
      <c r="E355">
        <f>ROUND(TAN(RADIANS(CSV_Import!U353))*((Auswertung!$C$7/2)*100-Auswertung!$C$8),3)</f>
        <v>0</v>
      </c>
      <c r="F355">
        <f>ROUND(TAN(RADIANS(CSV_Import!B353))*((Auswertung!$C$7/2)*100-Auswertung!$C$8),3)</f>
        <v>0</v>
      </c>
      <c r="G355">
        <f>ROUND(TAN(RADIANS(CSV_Import!S353))*((Auswertung!$C$7/2)*100-Auswertung!$C$8),3)</f>
        <v>0</v>
      </c>
      <c r="H355">
        <f>ROUND(TAN(RADIANS(CSV_Import!E353))*((Auswertung!$C$7/2)*100-Auswertung!$C$8),3)</f>
        <v>0</v>
      </c>
      <c r="I355">
        <f>ROUND(TAN(RADIANS(CSV_Import!V353))*((Auswertung!$C$7/2)*100-Auswertung!$C$8),3)</f>
        <v>0</v>
      </c>
      <c r="K355">
        <f>(CSV_Import!$N$2-CSV_Import!N353)</f>
        <v>0</v>
      </c>
      <c r="L355">
        <f>(CSV_Import!$AE$2-CSV_Import!AE353)</f>
        <v>0</v>
      </c>
    </row>
    <row r="356" spans="2:12" x14ac:dyDescent="0.3">
      <c r="B356">
        <f>(CSV_Import!G354-CSV_Import!$G$2)/1000</f>
        <v>0</v>
      </c>
      <c r="D356">
        <f>ROUND(TAN(RADIANS(CSV_Import!D354))*((Auswertung!$C$7*100)/2-Auswertung!$C$8),3)</f>
        <v>0</v>
      </c>
      <c r="E356">
        <f>ROUND(TAN(RADIANS(CSV_Import!U354))*((Auswertung!$C$7/2)*100-Auswertung!$C$8),3)</f>
        <v>0</v>
      </c>
      <c r="F356">
        <f>ROUND(TAN(RADIANS(CSV_Import!B354))*((Auswertung!$C$7/2)*100-Auswertung!$C$8),3)</f>
        <v>0</v>
      </c>
      <c r="G356">
        <f>ROUND(TAN(RADIANS(CSV_Import!S354))*((Auswertung!$C$7/2)*100-Auswertung!$C$8),3)</f>
        <v>0</v>
      </c>
      <c r="H356">
        <f>ROUND(TAN(RADIANS(CSV_Import!E354))*((Auswertung!$C$7/2)*100-Auswertung!$C$8),3)</f>
        <v>0</v>
      </c>
      <c r="I356">
        <f>ROUND(TAN(RADIANS(CSV_Import!V354))*((Auswertung!$C$7/2)*100-Auswertung!$C$8),3)</f>
        <v>0</v>
      </c>
      <c r="K356">
        <f>(CSV_Import!$N$2-CSV_Import!N354)</f>
        <v>0</v>
      </c>
      <c r="L356">
        <f>(CSV_Import!$AE$2-CSV_Import!AE354)</f>
        <v>0</v>
      </c>
    </row>
  </sheetData>
  <mergeCells count="2">
    <mergeCell ref="K2:L2"/>
    <mergeCell ref="D2:I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Auswertung</vt:lpstr>
      <vt:lpstr>CSV_Import</vt:lpstr>
      <vt:lpstr>Kalkulationen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Falk-Jakob Weigand</dc:creator>
  <cp:lastModifiedBy>Falk-Jakob Weigand</cp:lastModifiedBy>
  <cp:lastPrinted>2025-07-09T13:23:37Z</cp:lastPrinted>
  <dcterms:created xsi:type="dcterms:W3CDTF">2025-05-31T12:55:03Z</dcterms:created>
  <dcterms:modified xsi:type="dcterms:W3CDTF">2026-01-05T16:06:03Z</dcterms:modified>
</cp:coreProperties>
</file>