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D:\Education\HSWT\Bachelorarbeit\ba_weigand\software\final\"/>
    </mc:Choice>
  </mc:AlternateContent>
  <xr:revisionPtr revIDLastSave="0" documentId="13_ncr:1_{6F38E357-300E-4104-BE36-D08F40B3619F}" xr6:coauthVersionLast="47" xr6:coauthVersionMax="47" xr10:uidLastSave="{00000000-0000-0000-0000-000000000000}"/>
  <bookViews>
    <workbookView xWindow="-120" yWindow="-120" windowWidth="29040" windowHeight="15720" xr2:uid="{C4E7ED5F-51C6-4E4E-B930-AC500383E013}"/>
  </bookViews>
  <sheets>
    <sheet name="Auswertung" sheetId="2" r:id="rId1"/>
    <sheet name="CSV_Import" sheetId="1" r:id="rId2"/>
    <sheet name="Kalkulationen" sheetId="3" r:id="rId3"/>
  </sheets>
  <definedNames>
    <definedName name="HorizontalMovAvg1">Kalkulationen!$H$4:INDEX(Kalkulationen!$H:$H,Kalkulationen!$N$3)</definedName>
    <definedName name="HorizontalMovAvg2">Kalkulationen!$I$4:INDEX(Kalkulationen!$I:$I,Kalkulationen!$N$3)</definedName>
    <definedName name="Time">Kalkulationen!$B$4:INDEX(Kalkulationen!$B:$B,Kalkulationen!$N$3)</definedName>
    <definedName name="VertikaleAuslenkung1">Kalkulationen!$K$4:INDEX(Kalkulationen!$K:$K,Kalkulationen!$N$3)</definedName>
    <definedName name="VertikaleAuslenkung2">Kalkulationen!$L$4:INDEX(Kalkulationen!$L:$L,Kalkulationen!$N$3)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2" l="1"/>
  <c r="K23" i="2"/>
  <c r="K22" i="2"/>
  <c r="G24" i="2"/>
  <c r="G23" i="2"/>
  <c r="G22" i="2"/>
  <c r="G14" i="2"/>
  <c r="G18" i="2" s="1"/>
  <c r="K17" i="2"/>
  <c r="K19" i="2"/>
  <c r="K18" i="2"/>
  <c r="G19" i="2"/>
  <c r="G17" i="2"/>
  <c r="B103" i="3"/>
  <c r="D103" i="3"/>
  <c r="E103" i="3"/>
  <c r="F103" i="3"/>
  <c r="G103" i="3"/>
  <c r="H103" i="3"/>
  <c r="I103" i="3"/>
  <c r="K103" i="3"/>
  <c r="L103" i="3"/>
  <c r="B104" i="3"/>
  <c r="D104" i="3"/>
  <c r="E104" i="3"/>
  <c r="F104" i="3"/>
  <c r="G104" i="3"/>
  <c r="H104" i="3"/>
  <c r="I104" i="3"/>
  <c r="K104" i="3"/>
  <c r="L104" i="3"/>
  <c r="N3" i="3"/>
  <c r="C19" i="2"/>
  <c r="G13" i="2"/>
  <c r="D5" i="3"/>
  <c r="E5" i="3"/>
  <c r="F5" i="3"/>
  <c r="G5" i="3"/>
  <c r="H5" i="3"/>
  <c r="I5" i="3"/>
  <c r="D6" i="3"/>
  <c r="E6" i="3"/>
  <c r="F6" i="3"/>
  <c r="G6" i="3"/>
  <c r="H6" i="3"/>
  <c r="I6" i="3"/>
  <c r="D7" i="3"/>
  <c r="E7" i="3"/>
  <c r="F7" i="3"/>
  <c r="G7" i="3"/>
  <c r="H7" i="3"/>
  <c r="I7" i="3"/>
  <c r="D8" i="3"/>
  <c r="E8" i="3"/>
  <c r="F8" i="3"/>
  <c r="G8" i="3"/>
  <c r="H8" i="3"/>
  <c r="I8" i="3"/>
  <c r="D9" i="3"/>
  <c r="E9" i="3"/>
  <c r="F9" i="3"/>
  <c r="G9" i="3"/>
  <c r="H9" i="3"/>
  <c r="I9" i="3"/>
  <c r="D10" i="3"/>
  <c r="E10" i="3"/>
  <c r="F10" i="3"/>
  <c r="G10" i="3"/>
  <c r="H10" i="3"/>
  <c r="I10" i="3"/>
  <c r="D11" i="3"/>
  <c r="E11" i="3"/>
  <c r="F11" i="3"/>
  <c r="G11" i="3"/>
  <c r="H11" i="3"/>
  <c r="I11" i="3"/>
  <c r="D12" i="3"/>
  <c r="E12" i="3"/>
  <c r="F12" i="3"/>
  <c r="G12" i="3"/>
  <c r="H12" i="3"/>
  <c r="I12" i="3"/>
  <c r="D13" i="3"/>
  <c r="E13" i="3"/>
  <c r="F13" i="3"/>
  <c r="G13" i="3"/>
  <c r="H13" i="3"/>
  <c r="I13" i="3"/>
  <c r="D14" i="3"/>
  <c r="E14" i="3"/>
  <c r="F14" i="3"/>
  <c r="G14" i="3"/>
  <c r="H14" i="3"/>
  <c r="I14" i="3"/>
  <c r="D15" i="3"/>
  <c r="E15" i="3"/>
  <c r="F15" i="3"/>
  <c r="G15" i="3"/>
  <c r="H15" i="3"/>
  <c r="I15" i="3"/>
  <c r="D16" i="3"/>
  <c r="E16" i="3"/>
  <c r="F16" i="3"/>
  <c r="G16" i="3"/>
  <c r="H16" i="3"/>
  <c r="I16" i="3"/>
  <c r="D17" i="3"/>
  <c r="E17" i="3"/>
  <c r="F17" i="3"/>
  <c r="G17" i="3"/>
  <c r="H17" i="3"/>
  <c r="I17" i="3"/>
  <c r="D18" i="3"/>
  <c r="E18" i="3"/>
  <c r="F18" i="3"/>
  <c r="G18" i="3"/>
  <c r="H18" i="3"/>
  <c r="I18" i="3"/>
  <c r="D19" i="3"/>
  <c r="E19" i="3"/>
  <c r="F19" i="3"/>
  <c r="G19" i="3"/>
  <c r="H19" i="3"/>
  <c r="I19" i="3"/>
  <c r="D20" i="3"/>
  <c r="E20" i="3"/>
  <c r="F20" i="3"/>
  <c r="G20" i="3"/>
  <c r="H20" i="3"/>
  <c r="I20" i="3"/>
  <c r="D21" i="3"/>
  <c r="E21" i="3"/>
  <c r="F21" i="3"/>
  <c r="G21" i="3"/>
  <c r="H21" i="3"/>
  <c r="I21" i="3"/>
  <c r="D22" i="3"/>
  <c r="E22" i="3"/>
  <c r="F22" i="3"/>
  <c r="G22" i="3"/>
  <c r="H22" i="3"/>
  <c r="I22" i="3"/>
  <c r="D23" i="3"/>
  <c r="E23" i="3"/>
  <c r="F23" i="3"/>
  <c r="G23" i="3"/>
  <c r="H23" i="3"/>
  <c r="I23" i="3"/>
  <c r="D24" i="3"/>
  <c r="E24" i="3"/>
  <c r="F24" i="3"/>
  <c r="G24" i="3"/>
  <c r="H24" i="3"/>
  <c r="I24" i="3"/>
  <c r="D25" i="3"/>
  <c r="E25" i="3"/>
  <c r="F25" i="3"/>
  <c r="G25" i="3"/>
  <c r="H25" i="3"/>
  <c r="I25" i="3"/>
  <c r="D26" i="3"/>
  <c r="E26" i="3"/>
  <c r="F26" i="3"/>
  <c r="G26" i="3"/>
  <c r="H26" i="3"/>
  <c r="I26" i="3"/>
  <c r="D27" i="3"/>
  <c r="E27" i="3"/>
  <c r="F27" i="3"/>
  <c r="G27" i="3"/>
  <c r="H27" i="3"/>
  <c r="I27" i="3"/>
  <c r="D28" i="3"/>
  <c r="E28" i="3"/>
  <c r="F28" i="3"/>
  <c r="G28" i="3"/>
  <c r="H28" i="3"/>
  <c r="I28" i="3"/>
  <c r="D29" i="3"/>
  <c r="E29" i="3"/>
  <c r="F29" i="3"/>
  <c r="G29" i="3"/>
  <c r="H29" i="3"/>
  <c r="I29" i="3"/>
  <c r="D30" i="3"/>
  <c r="E30" i="3"/>
  <c r="F30" i="3"/>
  <c r="G30" i="3"/>
  <c r="H30" i="3"/>
  <c r="I30" i="3"/>
  <c r="D31" i="3"/>
  <c r="E31" i="3"/>
  <c r="F31" i="3"/>
  <c r="G31" i="3"/>
  <c r="H31" i="3"/>
  <c r="I31" i="3"/>
  <c r="D32" i="3"/>
  <c r="E32" i="3"/>
  <c r="F32" i="3"/>
  <c r="G32" i="3"/>
  <c r="H32" i="3"/>
  <c r="I32" i="3"/>
  <c r="D33" i="3"/>
  <c r="E33" i="3"/>
  <c r="F33" i="3"/>
  <c r="G33" i="3"/>
  <c r="H33" i="3"/>
  <c r="I33" i="3"/>
  <c r="D34" i="3"/>
  <c r="E34" i="3"/>
  <c r="F34" i="3"/>
  <c r="G34" i="3"/>
  <c r="H34" i="3"/>
  <c r="I34" i="3"/>
  <c r="D35" i="3"/>
  <c r="E35" i="3"/>
  <c r="F35" i="3"/>
  <c r="G35" i="3"/>
  <c r="H35" i="3"/>
  <c r="I35" i="3"/>
  <c r="D36" i="3"/>
  <c r="E36" i="3"/>
  <c r="F36" i="3"/>
  <c r="G36" i="3"/>
  <c r="H36" i="3"/>
  <c r="I36" i="3"/>
  <c r="D37" i="3"/>
  <c r="E37" i="3"/>
  <c r="F37" i="3"/>
  <c r="G37" i="3"/>
  <c r="H37" i="3"/>
  <c r="I37" i="3"/>
  <c r="D38" i="3"/>
  <c r="E38" i="3"/>
  <c r="F38" i="3"/>
  <c r="G38" i="3"/>
  <c r="H38" i="3"/>
  <c r="I38" i="3"/>
  <c r="D39" i="3"/>
  <c r="E39" i="3"/>
  <c r="F39" i="3"/>
  <c r="G39" i="3"/>
  <c r="H39" i="3"/>
  <c r="I39" i="3"/>
  <c r="D40" i="3"/>
  <c r="E40" i="3"/>
  <c r="F40" i="3"/>
  <c r="G40" i="3"/>
  <c r="H40" i="3"/>
  <c r="I40" i="3"/>
  <c r="D41" i="3"/>
  <c r="E41" i="3"/>
  <c r="F41" i="3"/>
  <c r="G41" i="3"/>
  <c r="H41" i="3"/>
  <c r="I41" i="3"/>
  <c r="D42" i="3"/>
  <c r="E42" i="3"/>
  <c r="F42" i="3"/>
  <c r="G42" i="3"/>
  <c r="H42" i="3"/>
  <c r="I42" i="3"/>
  <c r="D43" i="3"/>
  <c r="E43" i="3"/>
  <c r="F43" i="3"/>
  <c r="G43" i="3"/>
  <c r="H43" i="3"/>
  <c r="I43" i="3"/>
  <c r="D44" i="3"/>
  <c r="E44" i="3"/>
  <c r="F44" i="3"/>
  <c r="G44" i="3"/>
  <c r="H44" i="3"/>
  <c r="I44" i="3"/>
  <c r="D45" i="3"/>
  <c r="E45" i="3"/>
  <c r="F45" i="3"/>
  <c r="G45" i="3"/>
  <c r="H45" i="3"/>
  <c r="I45" i="3"/>
  <c r="D46" i="3"/>
  <c r="E46" i="3"/>
  <c r="F46" i="3"/>
  <c r="G46" i="3"/>
  <c r="H46" i="3"/>
  <c r="I46" i="3"/>
  <c r="D47" i="3"/>
  <c r="E47" i="3"/>
  <c r="F47" i="3"/>
  <c r="G47" i="3"/>
  <c r="H47" i="3"/>
  <c r="I47" i="3"/>
  <c r="D48" i="3"/>
  <c r="E48" i="3"/>
  <c r="F48" i="3"/>
  <c r="G48" i="3"/>
  <c r="H48" i="3"/>
  <c r="I48" i="3"/>
  <c r="D49" i="3"/>
  <c r="E49" i="3"/>
  <c r="F49" i="3"/>
  <c r="G49" i="3"/>
  <c r="H49" i="3"/>
  <c r="I49" i="3"/>
  <c r="D50" i="3"/>
  <c r="E50" i="3"/>
  <c r="F50" i="3"/>
  <c r="G50" i="3"/>
  <c r="H50" i="3"/>
  <c r="I50" i="3"/>
  <c r="D51" i="3"/>
  <c r="E51" i="3"/>
  <c r="F51" i="3"/>
  <c r="G51" i="3"/>
  <c r="H51" i="3"/>
  <c r="I51" i="3"/>
  <c r="D52" i="3"/>
  <c r="E52" i="3"/>
  <c r="F52" i="3"/>
  <c r="G52" i="3"/>
  <c r="H52" i="3"/>
  <c r="I52" i="3"/>
  <c r="D53" i="3"/>
  <c r="E53" i="3"/>
  <c r="F53" i="3"/>
  <c r="G53" i="3"/>
  <c r="H53" i="3"/>
  <c r="I53" i="3"/>
  <c r="D54" i="3"/>
  <c r="E54" i="3"/>
  <c r="F54" i="3"/>
  <c r="G54" i="3"/>
  <c r="H54" i="3"/>
  <c r="I54" i="3"/>
  <c r="D55" i="3"/>
  <c r="E55" i="3"/>
  <c r="F55" i="3"/>
  <c r="G55" i="3"/>
  <c r="H55" i="3"/>
  <c r="I55" i="3"/>
  <c r="D56" i="3"/>
  <c r="E56" i="3"/>
  <c r="F56" i="3"/>
  <c r="G56" i="3"/>
  <c r="H56" i="3"/>
  <c r="I56" i="3"/>
  <c r="D57" i="3"/>
  <c r="E57" i="3"/>
  <c r="F57" i="3"/>
  <c r="G57" i="3"/>
  <c r="H57" i="3"/>
  <c r="I57" i="3"/>
  <c r="D58" i="3"/>
  <c r="E58" i="3"/>
  <c r="F58" i="3"/>
  <c r="G58" i="3"/>
  <c r="H58" i="3"/>
  <c r="I58" i="3"/>
  <c r="D59" i="3"/>
  <c r="E59" i="3"/>
  <c r="F59" i="3"/>
  <c r="G59" i="3"/>
  <c r="H59" i="3"/>
  <c r="I59" i="3"/>
  <c r="D60" i="3"/>
  <c r="E60" i="3"/>
  <c r="F60" i="3"/>
  <c r="G60" i="3"/>
  <c r="H60" i="3"/>
  <c r="I60" i="3"/>
  <c r="D61" i="3"/>
  <c r="E61" i="3"/>
  <c r="F61" i="3"/>
  <c r="G61" i="3"/>
  <c r="H61" i="3"/>
  <c r="I61" i="3"/>
  <c r="D62" i="3"/>
  <c r="E62" i="3"/>
  <c r="F62" i="3"/>
  <c r="G62" i="3"/>
  <c r="H62" i="3"/>
  <c r="I62" i="3"/>
  <c r="D63" i="3"/>
  <c r="E63" i="3"/>
  <c r="F63" i="3"/>
  <c r="G63" i="3"/>
  <c r="H63" i="3"/>
  <c r="I63" i="3"/>
  <c r="D64" i="3"/>
  <c r="E64" i="3"/>
  <c r="F64" i="3"/>
  <c r="G64" i="3"/>
  <c r="H64" i="3"/>
  <c r="I64" i="3"/>
  <c r="D65" i="3"/>
  <c r="E65" i="3"/>
  <c r="F65" i="3"/>
  <c r="G65" i="3"/>
  <c r="H65" i="3"/>
  <c r="I65" i="3"/>
  <c r="D66" i="3"/>
  <c r="E66" i="3"/>
  <c r="F66" i="3"/>
  <c r="G66" i="3"/>
  <c r="H66" i="3"/>
  <c r="I66" i="3"/>
  <c r="D67" i="3"/>
  <c r="E67" i="3"/>
  <c r="F67" i="3"/>
  <c r="G67" i="3"/>
  <c r="H67" i="3"/>
  <c r="I67" i="3"/>
  <c r="D68" i="3"/>
  <c r="E68" i="3"/>
  <c r="F68" i="3"/>
  <c r="G68" i="3"/>
  <c r="H68" i="3"/>
  <c r="I68" i="3"/>
  <c r="D69" i="3"/>
  <c r="E69" i="3"/>
  <c r="F69" i="3"/>
  <c r="G69" i="3"/>
  <c r="H69" i="3"/>
  <c r="I69" i="3"/>
  <c r="D70" i="3"/>
  <c r="E70" i="3"/>
  <c r="F70" i="3"/>
  <c r="G70" i="3"/>
  <c r="H70" i="3"/>
  <c r="I70" i="3"/>
  <c r="D71" i="3"/>
  <c r="E71" i="3"/>
  <c r="F71" i="3"/>
  <c r="G71" i="3"/>
  <c r="H71" i="3"/>
  <c r="I71" i="3"/>
  <c r="D72" i="3"/>
  <c r="E72" i="3"/>
  <c r="F72" i="3"/>
  <c r="G72" i="3"/>
  <c r="H72" i="3"/>
  <c r="I72" i="3"/>
  <c r="D73" i="3"/>
  <c r="E73" i="3"/>
  <c r="F73" i="3"/>
  <c r="G73" i="3"/>
  <c r="H73" i="3"/>
  <c r="I73" i="3"/>
  <c r="D74" i="3"/>
  <c r="E74" i="3"/>
  <c r="F74" i="3"/>
  <c r="G74" i="3"/>
  <c r="H74" i="3"/>
  <c r="I74" i="3"/>
  <c r="D75" i="3"/>
  <c r="E75" i="3"/>
  <c r="F75" i="3"/>
  <c r="G75" i="3"/>
  <c r="H75" i="3"/>
  <c r="I75" i="3"/>
  <c r="D76" i="3"/>
  <c r="E76" i="3"/>
  <c r="F76" i="3"/>
  <c r="G76" i="3"/>
  <c r="H76" i="3"/>
  <c r="I76" i="3"/>
  <c r="D77" i="3"/>
  <c r="E77" i="3"/>
  <c r="F77" i="3"/>
  <c r="G77" i="3"/>
  <c r="H77" i="3"/>
  <c r="I77" i="3"/>
  <c r="D78" i="3"/>
  <c r="E78" i="3"/>
  <c r="F78" i="3"/>
  <c r="G78" i="3"/>
  <c r="H78" i="3"/>
  <c r="I78" i="3"/>
  <c r="D79" i="3"/>
  <c r="E79" i="3"/>
  <c r="F79" i="3"/>
  <c r="G79" i="3"/>
  <c r="H79" i="3"/>
  <c r="I79" i="3"/>
  <c r="D80" i="3"/>
  <c r="E80" i="3"/>
  <c r="F80" i="3"/>
  <c r="G80" i="3"/>
  <c r="H80" i="3"/>
  <c r="I80" i="3"/>
  <c r="D81" i="3"/>
  <c r="E81" i="3"/>
  <c r="F81" i="3"/>
  <c r="G81" i="3"/>
  <c r="H81" i="3"/>
  <c r="I81" i="3"/>
  <c r="D82" i="3"/>
  <c r="E82" i="3"/>
  <c r="F82" i="3"/>
  <c r="G82" i="3"/>
  <c r="H82" i="3"/>
  <c r="I82" i="3"/>
  <c r="D83" i="3"/>
  <c r="E83" i="3"/>
  <c r="F83" i="3"/>
  <c r="G83" i="3"/>
  <c r="H83" i="3"/>
  <c r="I83" i="3"/>
  <c r="D84" i="3"/>
  <c r="E84" i="3"/>
  <c r="F84" i="3"/>
  <c r="G84" i="3"/>
  <c r="H84" i="3"/>
  <c r="I84" i="3"/>
  <c r="D85" i="3"/>
  <c r="E85" i="3"/>
  <c r="F85" i="3"/>
  <c r="G85" i="3"/>
  <c r="H85" i="3"/>
  <c r="I85" i="3"/>
  <c r="D86" i="3"/>
  <c r="E86" i="3"/>
  <c r="F86" i="3"/>
  <c r="G86" i="3"/>
  <c r="H86" i="3"/>
  <c r="I86" i="3"/>
  <c r="D87" i="3"/>
  <c r="E87" i="3"/>
  <c r="F87" i="3"/>
  <c r="G87" i="3"/>
  <c r="H87" i="3"/>
  <c r="I87" i="3"/>
  <c r="D88" i="3"/>
  <c r="E88" i="3"/>
  <c r="F88" i="3"/>
  <c r="G88" i="3"/>
  <c r="H88" i="3"/>
  <c r="I88" i="3"/>
  <c r="D89" i="3"/>
  <c r="E89" i="3"/>
  <c r="F89" i="3"/>
  <c r="G89" i="3"/>
  <c r="H89" i="3"/>
  <c r="I89" i="3"/>
  <c r="D90" i="3"/>
  <c r="E90" i="3"/>
  <c r="F90" i="3"/>
  <c r="G90" i="3"/>
  <c r="H90" i="3"/>
  <c r="I90" i="3"/>
  <c r="D91" i="3"/>
  <c r="E91" i="3"/>
  <c r="F91" i="3"/>
  <c r="G91" i="3"/>
  <c r="H91" i="3"/>
  <c r="I91" i="3"/>
  <c r="D92" i="3"/>
  <c r="E92" i="3"/>
  <c r="F92" i="3"/>
  <c r="G92" i="3"/>
  <c r="H92" i="3"/>
  <c r="I92" i="3"/>
  <c r="D93" i="3"/>
  <c r="E93" i="3"/>
  <c r="F93" i="3"/>
  <c r="G93" i="3"/>
  <c r="H93" i="3"/>
  <c r="I93" i="3"/>
  <c r="D94" i="3"/>
  <c r="E94" i="3"/>
  <c r="F94" i="3"/>
  <c r="G94" i="3"/>
  <c r="H94" i="3"/>
  <c r="I94" i="3"/>
  <c r="D95" i="3"/>
  <c r="E95" i="3"/>
  <c r="F95" i="3"/>
  <c r="G95" i="3"/>
  <c r="H95" i="3"/>
  <c r="I95" i="3"/>
  <c r="D96" i="3"/>
  <c r="E96" i="3"/>
  <c r="F96" i="3"/>
  <c r="G96" i="3"/>
  <c r="H96" i="3"/>
  <c r="I96" i="3"/>
  <c r="D97" i="3"/>
  <c r="E97" i="3"/>
  <c r="F97" i="3"/>
  <c r="G97" i="3"/>
  <c r="H97" i="3"/>
  <c r="I97" i="3"/>
  <c r="D98" i="3"/>
  <c r="E98" i="3"/>
  <c r="F98" i="3"/>
  <c r="G98" i="3"/>
  <c r="H98" i="3"/>
  <c r="I98" i="3"/>
  <c r="D99" i="3"/>
  <c r="E99" i="3"/>
  <c r="F99" i="3"/>
  <c r="G99" i="3"/>
  <c r="H99" i="3"/>
  <c r="I99" i="3"/>
  <c r="D100" i="3"/>
  <c r="E100" i="3"/>
  <c r="F100" i="3"/>
  <c r="G100" i="3"/>
  <c r="H100" i="3"/>
  <c r="I100" i="3"/>
  <c r="D101" i="3"/>
  <c r="E101" i="3"/>
  <c r="F101" i="3"/>
  <c r="G101" i="3"/>
  <c r="H101" i="3"/>
  <c r="I101" i="3"/>
  <c r="D102" i="3"/>
  <c r="E102" i="3"/>
  <c r="F102" i="3"/>
  <c r="G102" i="3"/>
  <c r="H102" i="3"/>
  <c r="I102" i="3"/>
  <c r="H4" i="3"/>
  <c r="I4" i="3"/>
  <c r="G4" i="3"/>
  <c r="F4" i="3"/>
  <c r="E4" i="3"/>
  <c r="D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4" i="3"/>
  <c r="K15" i="2"/>
  <c r="K14" i="2"/>
  <c r="K13" i="2"/>
  <c r="K10" i="2"/>
  <c r="K9" i="2"/>
  <c r="G6" i="2"/>
  <c r="K6" i="2"/>
  <c r="K5" i="2"/>
  <c r="K4" i="2"/>
  <c r="G15" i="2"/>
  <c r="G10" i="2"/>
  <c r="G9" i="2"/>
  <c r="G5" i="2"/>
  <c r="G4" i="2"/>
  <c r="C21" i="2"/>
  <c r="C20" i="2"/>
  <c r="F19" i="2"/>
  <c r="F18" i="2"/>
  <c r="F17" i="2"/>
  <c r="J17" i="2"/>
  <c r="J18" i="2"/>
  <c r="J19" i="2"/>
</calcChain>
</file>

<file path=xl/sharedStrings.xml><?xml version="1.0" encoding="utf-8"?>
<sst xmlns="http://schemas.openxmlformats.org/spreadsheetml/2006/main" count="134" uniqueCount="95">
  <si>
    <t>R1_Heading</t>
  </si>
  <si>
    <t>R1_Rover_date</t>
  </si>
  <si>
    <t>R1_Rover_time</t>
  </si>
  <si>
    <t>R1_Rover_lon</t>
  </si>
  <si>
    <t>R1_Rover_lat</t>
  </si>
  <si>
    <t>Rover_1_accHeading</t>
  </si>
  <si>
    <t>Rover_1_N</t>
  </si>
  <si>
    <t>Rover_1_E</t>
  </si>
  <si>
    <t>Rover_1_D</t>
  </si>
  <si>
    <t>Rover_1_Quality</t>
  </si>
  <si>
    <t>R2_Heading</t>
  </si>
  <si>
    <t>R2_Rover_date</t>
  </si>
  <si>
    <t>R2_Rover_time</t>
  </si>
  <si>
    <t>R2_Rover_lon</t>
  </si>
  <si>
    <t>R2_Rover_lat</t>
  </si>
  <si>
    <t>Rover_2_accHeading</t>
  </si>
  <si>
    <t>Rover_2_N</t>
  </si>
  <si>
    <t>Rover_2_E</t>
  </si>
  <si>
    <t>Rover_2_D</t>
  </si>
  <si>
    <t>Rover_2_Quality</t>
  </si>
  <si>
    <t>Rover 1:</t>
  </si>
  <si>
    <t>Median</t>
  </si>
  <si>
    <t>Rover 2:</t>
  </si>
  <si>
    <t>Datum:</t>
  </si>
  <si>
    <t>Messdauer:</t>
  </si>
  <si>
    <t>RTK Qualität:</t>
  </si>
  <si>
    <t>Median:</t>
  </si>
  <si>
    <t>Maschinenbezeichnung:</t>
  </si>
  <si>
    <t>Gestängebreite:</t>
  </si>
  <si>
    <t>Anhängetyp:</t>
  </si>
  <si>
    <t>m</t>
  </si>
  <si>
    <t>Nennvolumen:</t>
  </si>
  <si>
    <t>l</t>
  </si>
  <si>
    <t>Hersteller:</t>
  </si>
  <si>
    <t>Maximale Positive Auslenkung:</t>
  </si>
  <si>
    <t>Maximale Höhe:</t>
  </si>
  <si>
    <t>Minimale Höhe:</t>
  </si>
  <si>
    <t>Minimale Negative Auslenkung</t>
  </si>
  <si>
    <t>Maximalwert Genauigkeit:</t>
  </si>
  <si>
    <t>Genauigkeit Heading:</t>
  </si>
  <si>
    <t>s</t>
  </si>
  <si>
    <t>cm</t>
  </si>
  <si>
    <t>deg</t>
  </si>
  <si>
    <t>2D GNSS fix</t>
  </si>
  <si>
    <t>3D GNSS fix</t>
  </si>
  <si>
    <t>1/2</t>
  </si>
  <si>
    <t>RTK fixed</t>
  </si>
  <si>
    <t>RTK float</t>
  </si>
  <si>
    <t>Dead reckoning fix</t>
  </si>
  <si>
    <t>Rover_1_Ang_velo</t>
  </si>
  <si>
    <t>Rover_2_Ang_velo</t>
  </si>
  <si>
    <t>Angaben [deg] in 1e-5</t>
  </si>
  <si>
    <t>gezogen</t>
  </si>
  <si>
    <t>Offset Rover von Gestänge Außenkante:</t>
  </si>
  <si>
    <t>Horizontale Bewegung:</t>
  </si>
  <si>
    <t>Vertikale Bewegung:</t>
  </si>
  <si>
    <t>R1_absolute_Heading</t>
  </si>
  <si>
    <t>R1_delta_Heading</t>
  </si>
  <si>
    <t>Rover_1_alt</t>
  </si>
  <si>
    <t>Rover_1_height_varriation</t>
  </si>
  <si>
    <t>Rover_1_Speed</t>
  </si>
  <si>
    <t>R2_delta_Heading</t>
  </si>
  <si>
    <t>Rover_2_alt</t>
  </si>
  <si>
    <t>Rover_2_height_varriation</t>
  </si>
  <si>
    <t>Rover_2_Speed</t>
  </si>
  <si>
    <t>Base_lon</t>
  </si>
  <si>
    <t>Base_lat</t>
  </si>
  <si>
    <t>Base_NumSV</t>
  </si>
  <si>
    <t>Base_HDOP</t>
  </si>
  <si>
    <t>Base_alt</t>
  </si>
  <si>
    <t>Base_Time</t>
  </si>
  <si>
    <t>Base_Speed</t>
  </si>
  <si>
    <t>Rover_time</t>
  </si>
  <si>
    <t>Kalkulationen</t>
  </si>
  <si>
    <t>Vertikale Bewegung</t>
  </si>
  <si>
    <t>R1_VA</t>
  </si>
  <si>
    <t>R2_VA</t>
  </si>
  <si>
    <t>Base:</t>
  </si>
  <si>
    <t>Maximale Geschwindigeit:</t>
  </si>
  <si>
    <t>km/h</t>
  </si>
  <si>
    <t>Minimale Satelliten Sichtbar:</t>
  </si>
  <si>
    <t>maximaler HDOP wert:</t>
  </si>
  <si>
    <t>R2_absolute_Heading</t>
  </si>
  <si>
    <t>Messdetails:</t>
  </si>
  <si>
    <t>R1_HA_delta</t>
  </si>
  <si>
    <t>R2_HA_delta</t>
  </si>
  <si>
    <t>R1_HA_abs</t>
  </si>
  <si>
    <t>R2_HA_abs</t>
  </si>
  <si>
    <t>R1_mov_avg_Heading</t>
  </si>
  <si>
    <t>R2_mov_avg_Heading</t>
  </si>
  <si>
    <t>Base_Heading</t>
  </si>
  <si>
    <t>R1_HA_mov_avg</t>
  </si>
  <si>
    <t>R2_HA_mov_avg</t>
  </si>
  <si>
    <t>Horizontale Auslenkung in cm</t>
  </si>
  <si>
    <t>Auswertungsprotokoll Schwingungsmesssystem (F.Weigand)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</si>
</sst>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1" fillId="2" borderId="0" xfId="0" applyFont="1" applyFill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left"/>
    </xf>
    <xf numFmtId="49" fontId="0" fillId="0" borderId="0" xfId="0" applyNumberFormat="1" applyAlignment="1">
      <alignment horizontal="right"/>
    </xf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right"/>
    </xf>
    <xf numFmtId="0" fontId="6" fillId="0" borderId="0" xfId="0" applyFont="1"/>
    <xf numFmtId="0" fontId="2" fillId="0" borderId="0" xfId="0" applyFont="1"/>
    <xf numFmtId="11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 indent="1"/>
    </xf>
    <xf numFmtId="11" fontId="0" fillId="0" borderId="0" xfId="0" applyNumberFormat="1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Horizontale Auslenkung Gestänge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Kalkulationen!$H$3</c:f>
              <c:strCache>
                <c:ptCount val="1"/>
                <c:pt idx="0">
                  <c:v>R1_HA_mov_avg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[0]!Time</c:f>
              <c:strCache>
                <c:ptCount val="2"/>
                <c:pt idx="0">
                  <c:v>Rover_time</c:v>
                </c:pt>
                <c:pt idx="1">
                  <c:v>0</c:v>
                </c:pt>
              </c:strCache>
            </c:strRef>
          </c:cat>
          <c:val>
            <c:numRef>
              <c:f>[0]!HorizontalMovAvg1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58-4199-8356-72D007D13B15}"/>
            </c:ext>
          </c:extLst>
        </c:ser>
        <c:ser>
          <c:idx val="1"/>
          <c:order val="1"/>
          <c:tx>
            <c:strRef>
              <c:f>Kalkulationen!$I$3</c:f>
              <c:strCache>
                <c:ptCount val="1"/>
                <c:pt idx="0">
                  <c:v>R2_HA_mov_avg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[0]!Time</c:f>
              <c:strCache>
                <c:ptCount val="2"/>
                <c:pt idx="0">
                  <c:v>Rover_time</c:v>
                </c:pt>
                <c:pt idx="1">
                  <c:v>0</c:v>
                </c:pt>
              </c:strCache>
            </c:strRef>
          </c:cat>
          <c:val>
            <c:numRef>
              <c:f>[0]!HorizontalMovAvg2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58-4199-8356-72D007D13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515647"/>
        <c:axId val="757527647"/>
      </c:lineChart>
      <c:catAx>
        <c:axId val="757515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Zeit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57527647"/>
        <c:crosses val="autoZero"/>
        <c:auto val="1"/>
        <c:lblAlgn val="ctr"/>
        <c:lblOffset val="100"/>
        <c:noMultiLvlLbl val="0"/>
      </c:catAx>
      <c:valAx>
        <c:axId val="75752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Auslenkung</a:t>
                </a:r>
                <a:r>
                  <a:rPr lang="de-DE" baseline="0"/>
                  <a:t> [cm]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57515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Vertikale Bewegung Gestänge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Kalkulationen!$K$3</c:f>
              <c:strCache>
                <c:ptCount val="1"/>
                <c:pt idx="0">
                  <c:v>R1_VA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[0]!Time</c:f>
              <c:strCache>
                <c:ptCount val="2"/>
                <c:pt idx="0">
                  <c:v>Rover_time</c:v>
                </c:pt>
                <c:pt idx="1">
                  <c:v>0</c:v>
                </c:pt>
              </c:strCache>
            </c:strRef>
          </c:cat>
          <c:val>
            <c:numRef>
              <c:f>[0]!VertikaleAuslenkung1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06-451A-B3F7-D6B3076635B4}"/>
            </c:ext>
          </c:extLst>
        </c:ser>
        <c:ser>
          <c:idx val="1"/>
          <c:order val="1"/>
          <c:tx>
            <c:strRef>
              <c:f>Kalkulationen!$L$3</c:f>
              <c:strCache>
                <c:ptCount val="1"/>
                <c:pt idx="0">
                  <c:v>R2_VA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[0]!Time</c:f>
              <c:strCache>
                <c:ptCount val="2"/>
                <c:pt idx="0">
                  <c:v>Rover_time</c:v>
                </c:pt>
                <c:pt idx="1">
                  <c:v>0</c:v>
                </c:pt>
              </c:strCache>
            </c:strRef>
          </c:cat>
          <c:val>
            <c:numRef>
              <c:f>[0]!VertikaleAuslenkung2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B06-451A-B3F7-D6B307663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515647"/>
        <c:axId val="757527647"/>
      </c:lineChart>
      <c:catAx>
        <c:axId val="757515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Zeit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57527647"/>
        <c:crosses val="autoZero"/>
        <c:auto val="1"/>
        <c:lblAlgn val="ctr"/>
        <c:lblOffset val="100"/>
        <c:noMultiLvlLbl val="0"/>
      </c:catAx>
      <c:valAx>
        <c:axId val="75752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Auslenkung</a:t>
                </a:r>
                <a:r>
                  <a:rPr lang="de-DE" baseline="0"/>
                  <a:t> [cm]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57515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27</xdr:row>
      <xdr:rowOff>0</xdr:rowOff>
    </xdr:from>
    <xdr:to>
      <xdr:col>5</xdr:col>
      <xdr:colOff>478234</xdr:colOff>
      <xdr:row>47</xdr:row>
      <xdr:rowOff>189600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835B7BC5-5C20-4C1F-91E7-89D6C0595B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839258</xdr:colOff>
      <xdr:row>27</xdr:row>
      <xdr:rowOff>0</xdr:rowOff>
    </xdr:from>
    <xdr:to>
      <xdr:col>13</xdr:col>
      <xdr:colOff>0</xdr:colOff>
      <xdr:row>47</xdr:row>
      <xdr:rowOff>189600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6590A886-BCC5-46D9-B3F2-4445CC5CE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AC321-631B-4E28-8189-C95E601720DD}">
  <sheetPr codeName="Tabelle1"/>
  <dimension ref="B1:L24"/>
  <sheetViews>
    <sheetView tabSelected="1" zoomScale="85" zoomScaleNormal="85" workbookViewId="0">
      <selection activeCell="C23" sqref="C23"/>
    </sheetView>
  </sheetViews>
  <sheetFormatPr baseColWidth="10" defaultColWidth="11.28515625" defaultRowHeight="15" x14ac:dyDescent="0.25"/>
  <cols>
    <col min="1" max="1" width="4.42578125" customWidth="1"/>
    <col min="2" max="2" width="51.28515625" customWidth="1"/>
    <col min="3" max="3" width="27.140625" bestFit="1" customWidth="1"/>
    <col min="4" max="4" width="5.28515625" bestFit="1" customWidth="1"/>
    <col min="5" max="5" width="10.28515625" customWidth="1"/>
    <col min="6" max="6" width="27.42578125" bestFit="1" customWidth="1"/>
    <col min="7" max="7" width="10.85546875" bestFit="1" customWidth="1"/>
    <col min="8" max="8" width="4.140625" bestFit="1" customWidth="1"/>
    <col min="9" max="9" width="15.28515625" customWidth="1"/>
    <col min="10" max="10" width="27.42578125" bestFit="1" customWidth="1"/>
    <col min="11" max="11" width="10.85546875" bestFit="1" customWidth="1"/>
    <col min="12" max="12" width="4.140625" customWidth="1"/>
    <col min="13" max="13" width="14.140625" customWidth="1"/>
    <col min="14" max="14" width="5.42578125" customWidth="1"/>
    <col min="15" max="15" width="27" customWidth="1"/>
  </cols>
  <sheetData>
    <row r="1" spans="2:12" ht="34.5" x14ac:dyDescent="0.55000000000000004">
      <c r="B1" s="14" t="s">
        <v>94</v>
      </c>
    </row>
    <row r="3" spans="2:12" ht="21" x14ac:dyDescent="0.35">
      <c r="B3" s="12" t="s">
        <v>33</v>
      </c>
      <c r="C3" s="13"/>
      <c r="D3" s="8"/>
      <c r="F3" s="15" t="s">
        <v>20</v>
      </c>
      <c r="G3" s="9"/>
      <c r="H3" s="9"/>
      <c r="I3" s="9"/>
      <c r="J3" s="15" t="s">
        <v>22</v>
      </c>
    </row>
    <row r="4" spans="2:12" ht="21" x14ac:dyDescent="0.35">
      <c r="B4" s="12" t="s">
        <v>27</v>
      </c>
      <c r="C4" s="13"/>
      <c r="D4" s="8"/>
      <c r="F4" s="4" t="s">
        <v>25</v>
      </c>
      <c r="G4">
        <f>MAX(CSV_Import!H2:H1048576)</f>
        <v>0</v>
      </c>
      <c r="J4" s="4" t="s">
        <v>25</v>
      </c>
      <c r="K4">
        <f>MAX(CSV_Import!Y2:Y1048576)</f>
        <v>0</v>
      </c>
    </row>
    <row r="5" spans="2:12" ht="21" x14ac:dyDescent="0.35">
      <c r="B5" s="12" t="s">
        <v>29</v>
      </c>
      <c r="C5" s="13" t="s">
        <v>52</v>
      </c>
      <c r="D5" s="8"/>
      <c r="F5" s="4" t="s">
        <v>23</v>
      </c>
      <c r="G5" s="6">
        <f>CSV_Import!F2</f>
        <v>0</v>
      </c>
      <c r="J5" s="4" t="s">
        <v>23</v>
      </c>
      <c r="K5" s="6">
        <f>CSV_Import!W2</f>
        <v>0</v>
      </c>
    </row>
    <row r="6" spans="2:12" ht="21" x14ac:dyDescent="0.35">
      <c r="B6" s="12" t="s">
        <v>31</v>
      </c>
      <c r="C6" s="13">
        <v>6000</v>
      </c>
      <c r="D6" s="8" t="s">
        <v>32</v>
      </c>
      <c r="F6" s="4" t="s">
        <v>24</v>
      </c>
      <c r="G6" s="5">
        <f>(MAX(CSV_Import!G2:G1048576)-MIN(CSV_Import!G2:G1048576))/1000</f>
        <v>0</v>
      </c>
      <c r="H6" t="s">
        <v>40</v>
      </c>
      <c r="J6" s="4" t="s">
        <v>24</v>
      </c>
      <c r="K6" s="5">
        <f>(MAX(CSV_Import!X2:X1048576)-MIN(CSV_Import!X2:X1048576))/1000</f>
        <v>0</v>
      </c>
      <c r="L6" t="s">
        <v>40</v>
      </c>
    </row>
    <row r="7" spans="2:12" ht="21" x14ac:dyDescent="0.35">
      <c r="B7" s="12" t="s">
        <v>28</v>
      </c>
      <c r="C7" s="13">
        <v>36</v>
      </c>
      <c r="D7" s="8" t="s">
        <v>30</v>
      </c>
      <c r="F7" s="4"/>
      <c r="G7" s="5"/>
    </row>
    <row r="8" spans="2:12" ht="21" x14ac:dyDescent="0.35">
      <c r="B8" s="12" t="s">
        <v>53</v>
      </c>
      <c r="C8" s="13">
        <v>8</v>
      </c>
      <c r="D8" s="8" t="s">
        <v>41</v>
      </c>
      <c r="F8" s="2" t="s">
        <v>39</v>
      </c>
      <c r="J8" s="2" t="s">
        <v>39</v>
      </c>
    </row>
    <row r="9" spans="2:12" ht="21" x14ac:dyDescent="0.35">
      <c r="B9" s="12" t="s">
        <v>83</v>
      </c>
      <c r="C9" s="16"/>
      <c r="F9" s="4" t="s">
        <v>38</v>
      </c>
      <c r="G9">
        <f>ROUND(MAX(CSV_Import!K2:K1048576),4)</f>
        <v>0</v>
      </c>
      <c r="H9" t="s">
        <v>42</v>
      </c>
      <c r="J9" s="4" t="s">
        <v>38</v>
      </c>
      <c r="K9">
        <f>ROUND(MAX(CSV_Import!AB2:AB1048576),4)</f>
        <v>0</v>
      </c>
      <c r="L9" t="s">
        <v>42</v>
      </c>
    </row>
    <row r="10" spans="2:12" ht="14.25" customHeight="1" x14ac:dyDescent="0.25">
      <c r="F10" s="4" t="s">
        <v>26</v>
      </c>
      <c r="G10" t="e">
        <f>ROUND(MEDIAN(CSV_Import!K2:K1048576),4)</f>
        <v>#NUM!</v>
      </c>
      <c r="H10" t="s">
        <v>42</v>
      </c>
      <c r="J10" s="4" t="s">
        <v>26</v>
      </c>
      <c r="K10" t="e">
        <f>ROUND(MEDIAN(CSV_Import!AB2:AB1048576),4)</f>
        <v>#NUM!</v>
      </c>
      <c r="L10" t="s">
        <v>42</v>
      </c>
    </row>
    <row r="11" spans="2:12" ht="15.75" x14ac:dyDescent="0.25">
      <c r="B11" s="10" t="s">
        <v>25</v>
      </c>
      <c r="F11" s="4"/>
    </row>
    <row r="12" spans="2:12" x14ac:dyDescent="0.25">
      <c r="B12" s="4" t="s">
        <v>43</v>
      </c>
      <c r="C12" s="11" t="s">
        <v>45</v>
      </c>
      <c r="F12" s="3" t="s">
        <v>54</v>
      </c>
      <c r="J12" s="3" t="s">
        <v>54</v>
      </c>
    </row>
    <row r="13" spans="2:12" x14ac:dyDescent="0.25">
      <c r="B13" s="4" t="s">
        <v>44</v>
      </c>
      <c r="C13" s="11" t="s">
        <v>45</v>
      </c>
      <c r="F13" s="4" t="s">
        <v>34</v>
      </c>
      <c r="G13">
        <f>ROUND(MAX(CSV_Import!E2:E1048576),4)</f>
        <v>0</v>
      </c>
      <c r="H13" t="s">
        <v>42</v>
      </c>
      <c r="J13" s="4" t="s">
        <v>34</v>
      </c>
      <c r="K13">
        <f>ROUND(MAX(CSV_Import!V2:V1048576),4)</f>
        <v>0</v>
      </c>
      <c r="L13" t="s">
        <v>42</v>
      </c>
    </row>
    <row r="14" spans="2:12" x14ac:dyDescent="0.25">
      <c r="B14" s="4" t="s">
        <v>46</v>
      </c>
      <c r="C14" s="11">
        <v>4</v>
      </c>
      <c r="F14" s="4" t="s">
        <v>37</v>
      </c>
      <c r="G14">
        <f>ROUND(MIN(CSV_Import!E2:E1048576),4)</f>
        <v>0</v>
      </c>
      <c r="H14" t="s">
        <v>42</v>
      </c>
      <c r="J14" s="4" t="s">
        <v>37</v>
      </c>
      <c r="K14">
        <f>ROUND(MIN(CSV_Import!V2:V1048576),4)</f>
        <v>0</v>
      </c>
      <c r="L14" t="s">
        <v>42</v>
      </c>
    </row>
    <row r="15" spans="2:12" x14ac:dyDescent="0.25">
      <c r="B15" s="4" t="s">
        <v>47</v>
      </c>
      <c r="C15" s="11">
        <v>5</v>
      </c>
      <c r="F15" s="4" t="s">
        <v>26</v>
      </c>
      <c r="G15" t="e">
        <f>ROUND(MEDIAN(CSV_Import!E2:E1048576),4)</f>
        <v>#NUM!</v>
      </c>
      <c r="H15" t="s">
        <v>42</v>
      </c>
      <c r="J15" s="4" t="s">
        <v>26</v>
      </c>
      <c r="K15" t="e">
        <f>ROUND(MEDIAN(CSV_Import!V2:V1048576),4)</f>
        <v>#NUM!</v>
      </c>
      <c r="L15" t="s">
        <v>42</v>
      </c>
    </row>
    <row r="16" spans="2:12" x14ac:dyDescent="0.25">
      <c r="B16" s="4" t="s">
        <v>48</v>
      </c>
      <c r="C16" s="11">
        <v>6</v>
      </c>
    </row>
    <row r="17" spans="2:12" x14ac:dyDescent="0.25">
      <c r="F17" s="4" t="str">
        <f>F13</f>
        <v>Maximale Positive Auslenkung:</v>
      </c>
      <c r="G17">
        <f>ROUND(SIN(RADIANS(G13))*(($C$7*100)/2-$C$8),2)</f>
        <v>0</v>
      </c>
      <c r="H17" t="s">
        <v>41</v>
      </c>
      <c r="J17" s="4" t="str">
        <f>J13</f>
        <v>Maximale Positive Auslenkung:</v>
      </c>
      <c r="K17">
        <f>ROUND(SIN(RADIANS(K13))*(($C$7*100)/2-$C$8),2)</f>
        <v>0</v>
      </c>
      <c r="L17" t="s">
        <v>41</v>
      </c>
    </row>
    <row r="18" spans="2:12" ht="15.75" x14ac:dyDescent="0.25">
      <c r="B18" s="15" t="s">
        <v>77</v>
      </c>
      <c r="F18" s="4" t="str">
        <f>F14</f>
        <v>Minimale Negative Auslenkung</v>
      </c>
      <c r="G18">
        <f t="shared" ref="G18:G19" si="0">ROUND(SIN(RADIANS(G14))*(($C$7*100)/2-$C$8),2)</f>
        <v>0</v>
      </c>
      <c r="H18" t="s">
        <v>41</v>
      </c>
      <c r="J18" s="4" t="str">
        <f>J14</f>
        <v>Minimale Negative Auslenkung</v>
      </c>
      <c r="K18">
        <f t="shared" ref="K18:K19" si="1">ROUND(SIN(RADIANS(K14))*(($C$7*100)/2-$C$8),2)</f>
        <v>0</v>
      </c>
      <c r="L18" t="s">
        <v>41</v>
      </c>
    </row>
    <row r="19" spans="2:12" x14ac:dyDescent="0.25">
      <c r="B19" s="17" t="s">
        <v>78</v>
      </c>
      <c r="C19" s="2">
        <f>ROUND(MAX(CSV_Import!AO:AO),2)</f>
        <v>0</v>
      </c>
      <c r="D19" s="2" t="s">
        <v>79</v>
      </c>
      <c r="F19" s="4" t="str">
        <f>F15</f>
        <v>Median:</v>
      </c>
      <c r="G19" t="e">
        <f t="shared" si="0"/>
        <v>#NUM!</v>
      </c>
      <c r="H19" t="s">
        <v>41</v>
      </c>
      <c r="J19" s="4" t="str">
        <f>J15</f>
        <v>Median:</v>
      </c>
      <c r="K19" t="e">
        <f t="shared" si="1"/>
        <v>#NUM!</v>
      </c>
      <c r="L19" t="s">
        <v>41</v>
      </c>
    </row>
    <row r="20" spans="2:12" x14ac:dyDescent="0.25">
      <c r="B20" s="4" t="s">
        <v>80</v>
      </c>
      <c r="C20">
        <f>MIN(CSV_Import!AK:AK)</f>
        <v>0</v>
      </c>
    </row>
    <row r="21" spans="2:12" x14ac:dyDescent="0.25">
      <c r="B21" s="4" t="s">
        <v>81</v>
      </c>
      <c r="C21">
        <f>MAX(CSV_Import!AL:AL)</f>
        <v>0</v>
      </c>
      <c r="F21" s="2" t="s">
        <v>55</v>
      </c>
      <c r="J21" s="2" t="s">
        <v>55</v>
      </c>
    </row>
    <row r="22" spans="2:12" x14ac:dyDescent="0.25">
      <c r="F22" s="4" t="s">
        <v>35</v>
      </c>
      <c r="G22">
        <f>ROUND(MAX(Kalkulationen!K4:K1048576),4)</f>
        <v>0</v>
      </c>
      <c r="H22" t="s">
        <v>41</v>
      </c>
      <c r="J22" s="4" t="s">
        <v>35</v>
      </c>
      <c r="K22">
        <f>ROUND(MAX(Kalkulationen!L4:L1048576),4)</f>
        <v>0</v>
      </c>
      <c r="L22" t="s">
        <v>41</v>
      </c>
    </row>
    <row r="23" spans="2:12" x14ac:dyDescent="0.25">
      <c r="F23" s="4" t="s">
        <v>36</v>
      </c>
      <c r="G23">
        <f>ROUND(MIN(Kalkulationen!K4:K1048576),4)</f>
        <v>0</v>
      </c>
      <c r="H23" t="s">
        <v>41</v>
      </c>
      <c r="J23" s="4" t="s">
        <v>36</v>
      </c>
      <c r="K23">
        <f>ROUND(MIN(Kalkulationen!L4:L1048576),4)</f>
        <v>0</v>
      </c>
      <c r="L23" t="s">
        <v>41</v>
      </c>
    </row>
    <row r="24" spans="2:12" x14ac:dyDescent="0.25">
      <c r="B24" s="7" t="s">
        <v>51</v>
      </c>
      <c r="F24" s="4" t="s">
        <v>21</v>
      </c>
      <c r="G24">
        <f>ROUND(MEDIAN(Kalkulationen!K4:K1048576),4)</f>
        <v>0</v>
      </c>
      <c r="H24" t="s">
        <v>41</v>
      </c>
      <c r="J24" s="4" t="s">
        <v>21</v>
      </c>
      <c r="K24">
        <f>ROUND(MEDIAN(Kalkulationen!L4:L1048576),4)</f>
        <v>0</v>
      </c>
      <c r="L24" t="s">
        <v>41</v>
      </c>
    </row>
  </sheetData>
  <phoneticPr fontId="3" type="noConversion"/>
  <dataValidations disablePrompts="1" count="3">
    <dataValidation type="list" allowBlank="1" showInputMessage="1" showErrorMessage="1" sqref="C5" xr:uid="{BFF0E41D-B3E1-4218-97FC-72A791C6B1A1}">
      <formula1>"angebaut,angebaut+Fronttank,gezogen,Selbstfahrer"</formula1>
    </dataValidation>
    <dataValidation type="list" allowBlank="1" showInputMessage="1" showErrorMessage="1" sqref="C6" xr:uid="{8878F6C4-4013-47A6-BAD7-333C874A3134}">
      <formula1>"600,800,1000,1200,1500,2000,2500,3000,3500,4000,4500,5000,5500,6000,6500,7000,8000,9000,10000,11000,12000"</formula1>
    </dataValidation>
    <dataValidation type="list" allowBlank="1" showInputMessage="1" showErrorMessage="1" sqref="C7" xr:uid="{37083156-AC58-4658-A474-78F0106457C5}">
      <mc:AlternateContent xmlns:x12ac="http://schemas.microsoft.com/office/spreadsheetml/2011/1/ac" xmlns:mc="http://schemas.openxmlformats.org/markup-compatibility/2006">
        <mc:Choice Requires="x12ac">
          <x12ac:list>12,15,18,20,24,26,27,"27,5",28,30,32,34,36,38,40,42,44,46,48,50,52,54</x12ac:list>
        </mc:Choice>
        <mc:Fallback>
          <formula1>"12,15,18,20,24,26,27,27,5,28,30,32,34,36,38,40,42,44,46,48,50,52,54"</formula1>
        </mc:Fallback>
      </mc:AlternateContent>
    </dataValidation>
  </dataValidations>
  <pageMargins left="0.19685039370078741" right="0.19685039370078741" top="0.39370078740157483" bottom="0.39370078740157483" header="0" footer="0"/>
  <pageSetup paperSize="9" scale="65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FF042-0457-4D1F-9C85-498D8D275B75}">
  <sheetPr codeName="Tabelle2"/>
  <dimension ref="A1:AP102"/>
  <sheetViews>
    <sheetView zoomScale="85" zoomScaleNormal="85" workbookViewId="0">
      <pane ySplit="1" topLeftCell="A52" activePane="bottomLeft" state="frozen"/>
      <selection activeCell="B1" sqref="B1"/>
      <selection pane="bottomLeft" activeCell="B66" sqref="B66"/>
    </sheetView>
  </sheetViews>
  <sheetFormatPr baseColWidth="10" defaultRowHeight="15" x14ac:dyDescent="0.25"/>
  <sheetData>
    <row r="1" spans="1:42" x14ac:dyDescent="0.25">
      <c r="A1" t="s">
        <v>0</v>
      </c>
      <c r="B1" t="s">
        <v>56</v>
      </c>
      <c r="C1" t="s">
        <v>49</v>
      </c>
      <c r="D1" t="s">
        <v>57</v>
      </c>
      <c r="E1" t="s">
        <v>88</v>
      </c>
      <c r="F1" t="s">
        <v>1</v>
      </c>
      <c r="G1" t="s">
        <v>2</v>
      </c>
      <c r="H1" t="s">
        <v>9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58</v>
      </c>
      <c r="P1" t="s">
        <v>59</v>
      </c>
      <c r="Q1" t="s">
        <v>60</v>
      </c>
      <c r="R1" t="s">
        <v>10</v>
      </c>
      <c r="S1" t="s">
        <v>82</v>
      </c>
      <c r="T1" t="s">
        <v>50</v>
      </c>
      <c r="U1" t="s">
        <v>61</v>
      </c>
      <c r="V1" t="s">
        <v>89</v>
      </c>
      <c r="W1" t="s">
        <v>11</v>
      </c>
      <c r="X1" t="s">
        <v>12</v>
      </c>
      <c r="Y1" t="s">
        <v>19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90</v>
      </c>
    </row>
    <row r="2" spans="1:42" x14ac:dyDescent="0.25">
      <c r="F2" s="1"/>
      <c r="W2" s="1"/>
    </row>
    <row r="3" spans="1:42" x14ac:dyDescent="0.25">
      <c r="F3" s="1"/>
      <c r="W3" s="1"/>
    </row>
    <row r="4" spans="1:42" x14ac:dyDescent="0.25">
      <c r="F4" s="1"/>
      <c r="W4" s="1"/>
    </row>
    <row r="5" spans="1:42" x14ac:dyDescent="0.25">
      <c r="F5" s="1"/>
      <c r="W5" s="1"/>
    </row>
    <row r="6" spans="1:42" x14ac:dyDescent="0.25">
      <c r="F6" s="1"/>
      <c r="W6" s="1"/>
    </row>
    <row r="7" spans="1:42" x14ac:dyDescent="0.25">
      <c r="F7" s="1"/>
      <c r="W7" s="1"/>
    </row>
    <row r="8" spans="1:42" x14ac:dyDescent="0.25">
      <c r="F8" s="1"/>
      <c r="W8" s="1"/>
    </row>
    <row r="9" spans="1:42" x14ac:dyDescent="0.25">
      <c r="F9" s="1"/>
      <c r="W9" s="1"/>
    </row>
    <row r="10" spans="1:42" x14ac:dyDescent="0.25">
      <c r="F10" s="1"/>
      <c r="W10" s="1"/>
    </row>
    <row r="11" spans="1:42" x14ac:dyDescent="0.25">
      <c r="F11" s="1"/>
      <c r="W11" s="1"/>
    </row>
    <row r="12" spans="1:42" x14ac:dyDescent="0.25">
      <c r="F12" s="1"/>
      <c r="W12" s="1"/>
    </row>
    <row r="13" spans="1:42" x14ac:dyDescent="0.25">
      <c r="C13" s="18"/>
      <c r="F13" s="1"/>
      <c r="W13" s="1"/>
    </row>
    <row r="14" spans="1:42" x14ac:dyDescent="0.25">
      <c r="F14" s="1"/>
      <c r="W14" s="1"/>
    </row>
    <row r="15" spans="1:42" x14ac:dyDescent="0.25">
      <c r="F15" s="1"/>
      <c r="W15" s="1"/>
    </row>
    <row r="16" spans="1:42" x14ac:dyDescent="0.25">
      <c r="F16" s="1"/>
      <c r="W16" s="1"/>
    </row>
    <row r="17" spans="6:33" x14ac:dyDescent="0.25">
      <c r="F17" s="1"/>
      <c r="W17" s="1"/>
    </row>
    <row r="18" spans="6:33" x14ac:dyDescent="0.25">
      <c r="F18" s="1"/>
      <c r="W18" s="1"/>
    </row>
    <row r="19" spans="6:33" x14ac:dyDescent="0.25">
      <c r="F19" s="1"/>
      <c r="W19" s="1"/>
    </row>
    <row r="20" spans="6:33" x14ac:dyDescent="0.25">
      <c r="F20" s="1"/>
      <c r="W20" s="1"/>
    </row>
    <row r="21" spans="6:33" x14ac:dyDescent="0.25">
      <c r="F21" s="1"/>
      <c r="W21" s="1"/>
    </row>
    <row r="22" spans="6:33" x14ac:dyDescent="0.25">
      <c r="F22" s="1"/>
      <c r="W22" s="1"/>
    </row>
    <row r="23" spans="6:33" x14ac:dyDescent="0.25">
      <c r="F23" s="1"/>
      <c r="W23" s="1"/>
    </row>
    <row r="24" spans="6:33" x14ac:dyDescent="0.25">
      <c r="F24" s="1"/>
      <c r="W24" s="1"/>
    </row>
    <row r="25" spans="6:33" x14ac:dyDescent="0.25">
      <c r="F25" s="1"/>
      <c r="P25" s="18"/>
      <c r="W25" s="1"/>
    </row>
    <row r="26" spans="6:33" x14ac:dyDescent="0.25">
      <c r="F26" s="1"/>
      <c r="P26" s="18"/>
      <c r="W26" s="1"/>
    </row>
    <row r="27" spans="6:33" x14ac:dyDescent="0.25">
      <c r="F27" s="1"/>
      <c r="P27" s="18"/>
      <c r="W27" s="1"/>
    </row>
    <row r="28" spans="6:33" x14ac:dyDescent="0.25">
      <c r="F28" s="1"/>
      <c r="P28" s="18"/>
      <c r="W28" s="1"/>
      <c r="AG28" s="18"/>
    </row>
    <row r="29" spans="6:33" x14ac:dyDescent="0.25">
      <c r="F29" s="1"/>
      <c r="W29" s="1"/>
      <c r="AG29" s="18"/>
    </row>
    <row r="30" spans="6:33" x14ac:dyDescent="0.25">
      <c r="F30" s="1"/>
      <c r="W30" s="1"/>
      <c r="AG30" s="18"/>
    </row>
    <row r="31" spans="6:33" x14ac:dyDescent="0.25">
      <c r="F31" s="1"/>
      <c r="W31" s="1"/>
      <c r="AG31" s="18"/>
    </row>
    <row r="32" spans="6:33" x14ac:dyDescent="0.25">
      <c r="F32" s="1"/>
      <c r="W32" s="1"/>
    </row>
    <row r="33" spans="6:23" x14ac:dyDescent="0.25">
      <c r="F33" s="1"/>
      <c r="W33" s="1"/>
    </row>
    <row r="34" spans="6:23" x14ac:dyDescent="0.25">
      <c r="F34" s="1"/>
      <c r="W34" s="1"/>
    </row>
    <row r="35" spans="6:23" x14ac:dyDescent="0.25">
      <c r="F35" s="1"/>
      <c r="W35" s="1"/>
    </row>
    <row r="36" spans="6:23" x14ac:dyDescent="0.25">
      <c r="F36" s="1"/>
      <c r="W36" s="1"/>
    </row>
    <row r="37" spans="6:23" x14ac:dyDescent="0.25">
      <c r="F37" s="1"/>
      <c r="W37" s="1"/>
    </row>
    <row r="38" spans="6:23" x14ac:dyDescent="0.25">
      <c r="F38" s="1"/>
      <c r="W38" s="1"/>
    </row>
    <row r="39" spans="6:23" x14ac:dyDescent="0.25">
      <c r="F39" s="1"/>
      <c r="W39" s="1"/>
    </row>
    <row r="40" spans="6:23" x14ac:dyDescent="0.25">
      <c r="F40" s="1"/>
      <c r="W40" s="1"/>
    </row>
    <row r="41" spans="6:23" x14ac:dyDescent="0.25">
      <c r="F41" s="1"/>
      <c r="W41" s="1"/>
    </row>
    <row r="42" spans="6:23" x14ac:dyDescent="0.25">
      <c r="F42" s="1"/>
      <c r="W42" s="1"/>
    </row>
    <row r="43" spans="6:23" x14ac:dyDescent="0.25">
      <c r="F43" s="1"/>
      <c r="W43" s="1"/>
    </row>
    <row r="44" spans="6:23" x14ac:dyDescent="0.25">
      <c r="F44" s="1"/>
      <c r="W44" s="1"/>
    </row>
    <row r="45" spans="6:23" x14ac:dyDescent="0.25">
      <c r="F45" s="1"/>
      <c r="W45" s="1"/>
    </row>
    <row r="46" spans="6:23" x14ac:dyDescent="0.25">
      <c r="F46" s="1"/>
      <c r="W46" s="1"/>
    </row>
    <row r="47" spans="6:23" x14ac:dyDescent="0.25">
      <c r="F47" s="1"/>
      <c r="W47" s="1"/>
    </row>
    <row r="48" spans="6:23" x14ac:dyDescent="0.25">
      <c r="F48" s="1"/>
      <c r="W48" s="1"/>
    </row>
    <row r="49" spans="6:23" x14ac:dyDescent="0.25">
      <c r="F49" s="1"/>
      <c r="W49" s="1"/>
    </row>
    <row r="50" spans="6:23" x14ac:dyDescent="0.25">
      <c r="F50" s="1"/>
      <c r="W50" s="1"/>
    </row>
    <row r="51" spans="6:23" x14ac:dyDescent="0.25">
      <c r="F51" s="1"/>
      <c r="W51" s="1"/>
    </row>
    <row r="52" spans="6:23" x14ac:dyDescent="0.25">
      <c r="F52" s="1"/>
      <c r="W52" s="1"/>
    </row>
    <row r="53" spans="6:23" x14ac:dyDescent="0.25">
      <c r="F53" s="1"/>
      <c r="W53" s="1"/>
    </row>
    <row r="54" spans="6:23" x14ac:dyDescent="0.25">
      <c r="F54" s="1"/>
      <c r="W54" s="1"/>
    </row>
    <row r="55" spans="6:23" x14ac:dyDescent="0.25">
      <c r="F55" s="1"/>
      <c r="W55" s="1"/>
    </row>
    <row r="56" spans="6:23" x14ac:dyDescent="0.25">
      <c r="F56" s="1"/>
      <c r="W56" s="1"/>
    </row>
    <row r="57" spans="6:23" x14ac:dyDescent="0.25">
      <c r="F57" s="1"/>
      <c r="W57" s="1"/>
    </row>
    <row r="58" spans="6:23" x14ac:dyDescent="0.25">
      <c r="F58" s="1"/>
      <c r="W58" s="1"/>
    </row>
    <row r="59" spans="6:23" x14ac:dyDescent="0.25">
      <c r="F59" s="1"/>
      <c r="W59" s="1"/>
    </row>
    <row r="60" spans="6:23" x14ac:dyDescent="0.25">
      <c r="F60" s="1"/>
      <c r="W60" s="1"/>
    </row>
    <row r="61" spans="6:23" x14ac:dyDescent="0.25">
      <c r="F61" s="1"/>
      <c r="W61" s="1"/>
    </row>
    <row r="62" spans="6:23" x14ac:dyDescent="0.25">
      <c r="F62" s="1"/>
      <c r="W62" s="1"/>
    </row>
    <row r="63" spans="6:23" x14ac:dyDescent="0.25">
      <c r="F63" s="1"/>
      <c r="W63" s="1"/>
    </row>
    <row r="64" spans="6:23" x14ac:dyDescent="0.25">
      <c r="F64" s="1"/>
      <c r="W64" s="1"/>
    </row>
    <row r="65" spans="6:23" x14ac:dyDescent="0.25">
      <c r="F65" s="1"/>
      <c r="W65" s="1"/>
    </row>
    <row r="66" spans="6:23" x14ac:dyDescent="0.25">
      <c r="F66" s="1"/>
      <c r="W66" s="1"/>
    </row>
    <row r="67" spans="6:23" x14ac:dyDescent="0.25">
      <c r="F67" s="1"/>
      <c r="W67" s="1"/>
    </row>
    <row r="68" spans="6:23" x14ac:dyDescent="0.25">
      <c r="F68" s="1"/>
      <c r="W68" s="1"/>
    </row>
    <row r="69" spans="6:23" x14ac:dyDescent="0.25">
      <c r="F69" s="1"/>
      <c r="W69" s="1"/>
    </row>
    <row r="70" spans="6:23" x14ac:dyDescent="0.25">
      <c r="F70" s="1"/>
      <c r="W70" s="1"/>
    </row>
    <row r="71" spans="6:23" x14ac:dyDescent="0.25">
      <c r="F71" s="1"/>
      <c r="W71" s="1"/>
    </row>
    <row r="72" spans="6:23" x14ac:dyDescent="0.25">
      <c r="F72" s="1"/>
      <c r="W72" s="1"/>
    </row>
    <row r="73" spans="6:23" x14ac:dyDescent="0.25">
      <c r="F73" s="1"/>
      <c r="W73" s="1"/>
    </row>
    <row r="74" spans="6:23" x14ac:dyDescent="0.25">
      <c r="F74" s="1"/>
      <c r="W74" s="1"/>
    </row>
    <row r="75" spans="6:23" x14ac:dyDescent="0.25">
      <c r="F75" s="1"/>
      <c r="W75" s="1"/>
    </row>
    <row r="76" spans="6:23" x14ac:dyDescent="0.25">
      <c r="F76" s="1"/>
      <c r="W76" s="1"/>
    </row>
    <row r="77" spans="6:23" x14ac:dyDescent="0.25">
      <c r="F77" s="1"/>
      <c r="W77" s="1"/>
    </row>
    <row r="78" spans="6:23" x14ac:dyDescent="0.25">
      <c r="F78" s="1"/>
      <c r="W78" s="1"/>
    </row>
    <row r="79" spans="6:23" x14ac:dyDescent="0.25">
      <c r="F79" s="1"/>
      <c r="W79" s="1"/>
    </row>
    <row r="80" spans="6:23" x14ac:dyDescent="0.25">
      <c r="F80" s="1"/>
      <c r="W80" s="1"/>
    </row>
    <row r="81" spans="6:23" x14ac:dyDescent="0.25">
      <c r="F81" s="1"/>
      <c r="W81" s="1"/>
    </row>
    <row r="82" spans="6:23" x14ac:dyDescent="0.25">
      <c r="F82" s="1"/>
      <c r="W82" s="1"/>
    </row>
    <row r="83" spans="6:23" x14ac:dyDescent="0.25">
      <c r="F83" s="1"/>
      <c r="W83" s="1"/>
    </row>
    <row r="84" spans="6:23" x14ac:dyDescent="0.25">
      <c r="F84" s="1"/>
      <c r="W84" s="1"/>
    </row>
    <row r="85" spans="6:23" x14ac:dyDescent="0.25">
      <c r="F85" s="1"/>
      <c r="W85" s="1"/>
    </row>
    <row r="86" spans="6:23" x14ac:dyDescent="0.25">
      <c r="F86" s="1"/>
      <c r="W86" s="1"/>
    </row>
    <row r="87" spans="6:23" x14ac:dyDescent="0.25">
      <c r="F87" s="1"/>
      <c r="W87" s="1"/>
    </row>
    <row r="88" spans="6:23" x14ac:dyDescent="0.25">
      <c r="F88" s="1"/>
      <c r="W88" s="1"/>
    </row>
    <row r="89" spans="6:23" x14ac:dyDescent="0.25">
      <c r="F89" s="1"/>
      <c r="W89" s="1"/>
    </row>
    <row r="90" spans="6:23" x14ac:dyDescent="0.25">
      <c r="F90" s="1"/>
      <c r="W90" s="1"/>
    </row>
    <row r="91" spans="6:23" x14ac:dyDescent="0.25">
      <c r="F91" s="1"/>
      <c r="W91" s="1"/>
    </row>
    <row r="92" spans="6:23" x14ac:dyDescent="0.25">
      <c r="F92" s="1"/>
      <c r="W92" s="1"/>
    </row>
    <row r="93" spans="6:23" x14ac:dyDescent="0.25">
      <c r="F93" s="1"/>
      <c r="W93" s="1"/>
    </row>
    <row r="94" spans="6:23" x14ac:dyDescent="0.25">
      <c r="F94" s="1"/>
      <c r="W94" s="1"/>
    </row>
    <row r="95" spans="6:23" x14ac:dyDescent="0.25">
      <c r="F95" s="1"/>
      <c r="W95" s="1"/>
    </row>
    <row r="96" spans="6:23" x14ac:dyDescent="0.25">
      <c r="F96" s="1"/>
      <c r="W96" s="1"/>
    </row>
    <row r="97" spans="6:23" x14ac:dyDescent="0.25">
      <c r="F97" s="1"/>
      <c r="W97" s="1"/>
    </row>
    <row r="98" spans="6:23" x14ac:dyDescent="0.25">
      <c r="F98" s="1"/>
      <c r="W98" s="1"/>
    </row>
    <row r="99" spans="6:23" x14ac:dyDescent="0.25">
      <c r="F99" s="1"/>
      <c r="W99" s="1"/>
    </row>
    <row r="100" spans="6:23" x14ac:dyDescent="0.25">
      <c r="F100" s="1"/>
      <c r="W100" s="1"/>
    </row>
    <row r="101" spans="6:23" x14ac:dyDescent="0.25">
      <c r="F101" s="1"/>
      <c r="W101" s="1"/>
    </row>
    <row r="102" spans="6:23" x14ac:dyDescent="0.25">
      <c r="F102" s="1"/>
      <c r="W102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E5CA-214A-4E50-B116-9E7842304B8D}">
  <dimension ref="A1:P104"/>
  <sheetViews>
    <sheetView zoomScale="85" zoomScaleNormal="85" workbookViewId="0">
      <selection activeCell="N102" sqref="N102"/>
    </sheetView>
  </sheetViews>
  <sheetFormatPr baseColWidth="10" defaultRowHeight="15" x14ac:dyDescent="0.25"/>
  <cols>
    <col min="4" max="4" width="14.42578125" bestFit="1" customWidth="1"/>
    <col min="5" max="5" width="13" customWidth="1"/>
    <col min="6" max="6" width="13.5703125" customWidth="1"/>
    <col min="8" max="9" width="15.28515625" bestFit="1" customWidth="1"/>
    <col min="13" max="13" width="11.5703125" bestFit="1" customWidth="1"/>
  </cols>
  <sheetData>
    <row r="1" spans="1:16" ht="21" x14ac:dyDescent="0.35">
      <c r="A1" s="8" t="s">
        <v>73</v>
      </c>
      <c r="D1" s="15"/>
      <c r="M1" s="2"/>
      <c r="P1" s="2"/>
    </row>
    <row r="2" spans="1:16" ht="21" x14ac:dyDescent="0.35">
      <c r="A2" s="8"/>
      <c r="D2" s="19" t="s">
        <v>93</v>
      </c>
      <c r="E2" s="19"/>
      <c r="F2" s="19"/>
      <c r="G2" s="19"/>
      <c r="H2" s="19"/>
      <c r="I2" s="19"/>
      <c r="K2" s="19" t="s">
        <v>74</v>
      </c>
      <c r="L2" s="19"/>
    </row>
    <row r="3" spans="1:16" x14ac:dyDescent="0.25">
      <c r="B3" s="2" t="s">
        <v>72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91</v>
      </c>
      <c r="I3" s="2" t="s">
        <v>92</v>
      </c>
      <c r="K3" s="2" t="s">
        <v>75</v>
      </c>
      <c r="L3" s="2" t="s">
        <v>76</v>
      </c>
      <c r="N3">
        <f>COUNTA(CSV_Import!A:A)+2</f>
        <v>3</v>
      </c>
    </row>
    <row r="4" spans="1:16" x14ac:dyDescent="0.25">
      <c r="B4">
        <f>(CSV_Import!G2-CSV_Import!$G$2)/1000</f>
        <v>0</v>
      </c>
      <c r="D4">
        <f>ROUND(TAN(RADIANS(CSV_Import!D2))*((Auswertung!$C$7*100)/2-Auswertung!$C$8),3)</f>
        <v>0</v>
      </c>
      <c r="E4">
        <f>ROUND(TAN(RADIANS(CSV_Import!U2))*((Auswertung!$C$7/2)*100-Auswertung!$C$8),3)</f>
        <v>0</v>
      </c>
      <c r="F4">
        <f>ROUND(TAN(RADIANS(CSV_Import!B2))*((Auswertung!$C$7/2)*100-Auswertung!$C$8),3)</f>
        <v>0</v>
      </c>
      <c r="G4">
        <f>ROUND(TAN(RADIANS(CSV_Import!S2))*((Auswertung!$C$7/2)*100-Auswertung!$C$8),3)</f>
        <v>0</v>
      </c>
      <c r="H4">
        <f>ROUND(TAN(RADIANS(CSV_Import!E2))*((Auswertung!$C$7/2)*100-Auswertung!$C$8),3)</f>
        <v>0</v>
      </c>
      <c r="I4">
        <f>ROUND(TAN(RADIANS(CSV_Import!V2))*((Auswertung!$C$7/2)*100-Auswertung!$C$8),3)</f>
        <v>0</v>
      </c>
      <c r="K4">
        <f>(CSV_Import!$N$2-CSV_Import!N2)</f>
        <v>0</v>
      </c>
      <c r="L4">
        <f>(CSV_Import!$AE$2-CSV_Import!AE2)</f>
        <v>0</v>
      </c>
    </row>
    <row r="5" spans="1:16" x14ac:dyDescent="0.25">
      <c r="B5">
        <f>(CSV_Import!G3-CSV_Import!$G$2)/1000</f>
        <v>0</v>
      </c>
      <c r="D5">
        <f>ROUND(TAN(RADIANS(CSV_Import!D3))*((Auswertung!$C$7*100)/2-Auswertung!$C$8),3)</f>
        <v>0</v>
      </c>
      <c r="E5">
        <f>ROUND(TAN(RADIANS(CSV_Import!U3))*((Auswertung!$C$7/2)*100-Auswertung!$C$8),3)</f>
        <v>0</v>
      </c>
      <c r="F5">
        <f>ROUND(TAN(RADIANS(CSV_Import!B3))*((Auswertung!$C$7/2)*100-Auswertung!$C$8),3)</f>
        <v>0</v>
      </c>
      <c r="G5">
        <f>ROUND(TAN(RADIANS(CSV_Import!S3))*((Auswertung!$C$7/2)*100-Auswertung!$C$8),3)</f>
        <v>0</v>
      </c>
      <c r="H5">
        <f>ROUND(TAN(RADIANS(CSV_Import!E3))*((Auswertung!$C$7/2)*100-Auswertung!$C$8),3)</f>
        <v>0</v>
      </c>
      <c r="I5">
        <f>ROUND(TAN(RADIANS(CSV_Import!V3))*((Auswertung!$C$7/2)*100-Auswertung!$C$8),3)</f>
        <v>0</v>
      </c>
      <c r="K5">
        <f>(CSV_Import!$N$2-CSV_Import!N3)</f>
        <v>0</v>
      </c>
      <c r="L5">
        <f>(CSV_Import!$AE$2-CSV_Import!AE3)</f>
        <v>0</v>
      </c>
    </row>
    <row r="6" spans="1:16" x14ac:dyDescent="0.25">
      <c r="B6">
        <f>(CSV_Import!G4-CSV_Import!$G$2)/1000</f>
        <v>0</v>
      </c>
      <c r="D6">
        <f>ROUND(TAN(RADIANS(CSV_Import!D4))*((Auswertung!$C$7*100)/2-Auswertung!$C$8),3)</f>
        <v>0</v>
      </c>
      <c r="E6">
        <f>ROUND(TAN(RADIANS(CSV_Import!U4))*((Auswertung!$C$7/2)*100-Auswertung!$C$8),3)</f>
        <v>0</v>
      </c>
      <c r="F6">
        <f>ROUND(TAN(RADIANS(CSV_Import!B4))*((Auswertung!$C$7/2)*100-Auswertung!$C$8),3)</f>
        <v>0</v>
      </c>
      <c r="G6">
        <f>ROUND(TAN(RADIANS(CSV_Import!S4))*((Auswertung!$C$7/2)*100-Auswertung!$C$8),3)</f>
        <v>0</v>
      </c>
      <c r="H6">
        <f>ROUND(TAN(RADIANS(CSV_Import!E4))*((Auswertung!$C$7/2)*100-Auswertung!$C$8),3)</f>
        <v>0</v>
      </c>
      <c r="I6">
        <f>ROUND(TAN(RADIANS(CSV_Import!V4))*((Auswertung!$C$7/2)*100-Auswertung!$C$8),3)</f>
        <v>0</v>
      </c>
      <c r="K6">
        <f>(CSV_Import!$N$2-CSV_Import!N4)</f>
        <v>0</v>
      </c>
      <c r="L6">
        <f>(CSV_Import!$AE$2-CSV_Import!AE4)</f>
        <v>0</v>
      </c>
    </row>
    <row r="7" spans="1:16" x14ac:dyDescent="0.25">
      <c r="B7">
        <f>(CSV_Import!G5-CSV_Import!$G$2)/1000</f>
        <v>0</v>
      </c>
      <c r="D7">
        <f>ROUND(TAN(RADIANS(CSV_Import!D5))*((Auswertung!$C$7*100)/2-Auswertung!$C$8),3)</f>
        <v>0</v>
      </c>
      <c r="E7">
        <f>ROUND(TAN(RADIANS(CSV_Import!U5))*((Auswertung!$C$7/2)*100-Auswertung!$C$8),3)</f>
        <v>0</v>
      </c>
      <c r="F7">
        <f>ROUND(TAN(RADIANS(CSV_Import!B5))*((Auswertung!$C$7/2)*100-Auswertung!$C$8),3)</f>
        <v>0</v>
      </c>
      <c r="G7">
        <f>ROUND(TAN(RADIANS(CSV_Import!S5))*((Auswertung!$C$7/2)*100-Auswertung!$C$8),3)</f>
        <v>0</v>
      </c>
      <c r="H7">
        <f>ROUND(TAN(RADIANS(CSV_Import!E5))*((Auswertung!$C$7/2)*100-Auswertung!$C$8),3)</f>
        <v>0</v>
      </c>
      <c r="I7">
        <f>ROUND(TAN(RADIANS(CSV_Import!V5))*((Auswertung!$C$7/2)*100-Auswertung!$C$8),3)</f>
        <v>0</v>
      </c>
      <c r="K7">
        <f>(CSV_Import!$N$2-CSV_Import!N5)</f>
        <v>0</v>
      </c>
      <c r="L7">
        <f>(CSV_Import!$AE$2-CSV_Import!AE5)</f>
        <v>0</v>
      </c>
    </row>
    <row r="8" spans="1:16" x14ac:dyDescent="0.25">
      <c r="B8">
        <f>(CSV_Import!G6-CSV_Import!$G$2)/1000</f>
        <v>0</v>
      </c>
      <c r="D8">
        <f>ROUND(TAN(RADIANS(CSV_Import!D6))*((Auswertung!$C$7*100)/2-Auswertung!$C$8),3)</f>
        <v>0</v>
      </c>
      <c r="E8">
        <f>ROUND(TAN(RADIANS(CSV_Import!U6))*((Auswertung!$C$7/2)*100-Auswertung!$C$8),3)</f>
        <v>0</v>
      </c>
      <c r="F8">
        <f>ROUND(TAN(RADIANS(CSV_Import!B6))*((Auswertung!$C$7/2)*100-Auswertung!$C$8),3)</f>
        <v>0</v>
      </c>
      <c r="G8">
        <f>ROUND(TAN(RADIANS(CSV_Import!S6))*((Auswertung!$C$7/2)*100-Auswertung!$C$8),3)</f>
        <v>0</v>
      </c>
      <c r="H8">
        <f>ROUND(TAN(RADIANS(CSV_Import!E6))*((Auswertung!$C$7/2)*100-Auswertung!$C$8),3)</f>
        <v>0</v>
      </c>
      <c r="I8">
        <f>ROUND(TAN(RADIANS(CSV_Import!V6))*((Auswertung!$C$7/2)*100-Auswertung!$C$8),3)</f>
        <v>0</v>
      </c>
      <c r="K8">
        <f>(CSV_Import!$N$2-CSV_Import!N6)</f>
        <v>0</v>
      </c>
      <c r="L8">
        <f>(CSV_Import!$AE$2-CSV_Import!AE6)</f>
        <v>0</v>
      </c>
    </row>
    <row r="9" spans="1:16" x14ac:dyDescent="0.25">
      <c r="B9">
        <f>(CSV_Import!G7-CSV_Import!$G$2)/1000</f>
        <v>0</v>
      </c>
      <c r="D9">
        <f>ROUND(TAN(RADIANS(CSV_Import!D7))*((Auswertung!$C$7*100)/2-Auswertung!$C$8),3)</f>
        <v>0</v>
      </c>
      <c r="E9">
        <f>ROUND(TAN(RADIANS(CSV_Import!U7))*((Auswertung!$C$7/2)*100-Auswertung!$C$8),3)</f>
        <v>0</v>
      </c>
      <c r="F9">
        <f>ROUND(TAN(RADIANS(CSV_Import!B7))*((Auswertung!$C$7/2)*100-Auswertung!$C$8),3)</f>
        <v>0</v>
      </c>
      <c r="G9">
        <f>ROUND(TAN(RADIANS(CSV_Import!S7))*((Auswertung!$C$7/2)*100-Auswertung!$C$8),3)</f>
        <v>0</v>
      </c>
      <c r="H9">
        <f>ROUND(TAN(RADIANS(CSV_Import!E7))*((Auswertung!$C$7/2)*100-Auswertung!$C$8),3)</f>
        <v>0</v>
      </c>
      <c r="I9">
        <f>ROUND(TAN(RADIANS(CSV_Import!V7))*((Auswertung!$C$7/2)*100-Auswertung!$C$8),3)</f>
        <v>0</v>
      </c>
      <c r="K9">
        <f>(CSV_Import!$N$2-CSV_Import!N7)</f>
        <v>0</v>
      </c>
      <c r="L9">
        <f>(CSV_Import!$AE$2-CSV_Import!AE7)</f>
        <v>0</v>
      </c>
    </row>
    <row r="10" spans="1:16" x14ac:dyDescent="0.25">
      <c r="B10">
        <f>(CSV_Import!G8-CSV_Import!$G$2)/1000</f>
        <v>0</v>
      </c>
      <c r="D10">
        <f>ROUND(TAN(RADIANS(CSV_Import!D8))*((Auswertung!$C$7*100)/2-Auswertung!$C$8),3)</f>
        <v>0</v>
      </c>
      <c r="E10">
        <f>ROUND(TAN(RADIANS(CSV_Import!U8))*((Auswertung!$C$7/2)*100-Auswertung!$C$8),3)</f>
        <v>0</v>
      </c>
      <c r="F10">
        <f>ROUND(TAN(RADIANS(CSV_Import!B8))*((Auswertung!$C$7/2)*100-Auswertung!$C$8),3)</f>
        <v>0</v>
      </c>
      <c r="G10">
        <f>ROUND(TAN(RADIANS(CSV_Import!S8))*((Auswertung!$C$7/2)*100-Auswertung!$C$8),3)</f>
        <v>0</v>
      </c>
      <c r="H10">
        <f>ROUND(TAN(RADIANS(CSV_Import!E8))*((Auswertung!$C$7/2)*100-Auswertung!$C$8),3)</f>
        <v>0</v>
      </c>
      <c r="I10">
        <f>ROUND(TAN(RADIANS(CSV_Import!V8))*((Auswertung!$C$7/2)*100-Auswertung!$C$8),3)</f>
        <v>0</v>
      </c>
      <c r="K10">
        <f>(CSV_Import!$N$2-CSV_Import!N8)</f>
        <v>0</v>
      </c>
      <c r="L10">
        <f>(CSV_Import!$AE$2-CSV_Import!AE8)</f>
        <v>0</v>
      </c>
    </row>
    <row r="11" spans="1:16" x14ac:dyDescent="0.25">
      <c r="B11">
        <f>(CSV_Import!G9-CSV_Import!$G$2)/1000</f>
        <v>0</v>
      </c>
      <c r="D11">
        <f>ROUND(TAN(RADIANS(CSV_Import!D9))*((Auswertung!$C$7*100)/2-Auswertung!$C$8),3)</f>
        <v>0</v>
      </c>
      <c r="E11">
        <f>ROUND(TAN(RADIANS(CSV_Import!U9))*((Auswertung!$C$7/2)*100-Auswertung!$C$8),3)</f>
        <v>0</v>
      </c>
      <c r="F11">
        <f>ROUND(TAN(RADIANS(CSV_Import!B9))*((Auswertung!$C$7/2)*100-Auswertung!$C$8),3)</f>
        <v>0</v>
      </c>
      <c r="G11">
        <f>ROUND(TAN(RADIANS(CSV_Import!S9))*((Auswertung!$C$7/2)*100-Auswertung!$C$8),3)</f>
        <v>0</v>
      </c>
      <c r="H11">
        <f>ROUND(TAN(RADIANS(CSV_Import!E9))*((Auswertung!$C$7/2)*100-Auswertung!$C$8),3)</f>
        <v>0</v>
      </c>
      <c r="I11">
        <f>ROUND(TAN(RADIANS(CSV_Import!V9))*((Auswertung!$C$7/2)*100-Auswertung!$C$8),3)</f>
        <v>0</v>
      </c>
      <c r="K11">
        <f>(CSV_Import!$N$2-CSV_Import!N9)</f>
        <v>0</v>
      </c>
      <c r="L11">
        <f>(CSV_Import!$AE$2-CSV_Import!AE9)</f>
        <v>0</v>
      </c>
    </row>
    <row r="12" spans="1:16" x14ac:dyDescent="0.25">
      <c r="B12">
        <f>(CSV_Import!G10-CSV_Import!$G$2)/1000</f>
        <v>0</v>
      </c>
      <c r="D12">
        <f>ROUND(TAN(RADIANS(CSV_Import!D10))*((Auswertung!$C$7*100)/2-Auswertung!$C$8),3)</f>
        <v>0</v>
      </c>
      <c r="E12">
        <f>ROUND(TAN(RADIANS(CSV_Import!U10))*((Auswertung!$C$7/2)*100-Auswertung!$C$8),3)</f>
        <v>0</v>
      </c>
      <c r="F12">
        <f>ROUND(TAN(RADIANS(CSV_Import!B10))*((Auswertung!$C$7/2)*100-Auswertung!$C$8),3)</f>
        <v>0</v>
      </c>
      <c r="G12">
        <f>ROUND(TAN(RADIANS(CSV_Import!S10))*((Auswertung!$C$7/2)*100-Auswertung!$C$8),3)</f>
        <v>0</v>
      </c>
      <c r="H12">
        <f>ROUND(TAN(RADIANS(CSV_Import!E10))*((Auswertung!$C$7/2)*100-Auswertung!$C$8),3)</f>
        <v>0</v>
      </c>
      <c r="I12">
        <f>ROUND(TAN(RADIANS(CSV_Import!V10))*((Auswertung!$C$7/2)*100-Auswertung!$C$8),3)</f>
        <v>0</v>
      </c>
      <c r="K12">
        <f>(CSV_Import!$N$2-CSV_Import!N10)</f>
        <v>0</v>
      </c>
      <c r="L12">
        <f>(CSV_Import!$AE$2-CSV_Import!AE10)</f>
        <v>0</v>
      </c>
    </row>
    <row r="13" spans="1:16" x14ac:dyDescent="0.25">
      <c r="B13">
        <f>(CSV_Import!G11-CSV_Import!$G$2)/1000</f>
        <v>0</v>
      </c>
      <c r="D13">
        <f>ROUND(TAN(RADIANS(CSV_Import!D11))*((Auswertung!$C$7*100)/2-Auswertung!$C$8),3)</f>
        <v>0</v>
      </c>
      <c r="E13">
        <f>ROUND(TAN(RADIANS(CSV_Import!U11))*((Auswertung!$C$7/2)*100-Auswertung!$C$8),3)</f>
        <v>0</v>
      </c>
      <c r="F13">
        <f>ROUND(TAN(RADIANS(CSV_Import!B11))*((Auswertung!$C$7/2)*100-Auswertung!$C$8),3)</f>
        <v>0</v>
      </c>
      <c r="G13">
        <f>ROUND(TAN(RADIANS(CSV_Import!S11))*((Auswertung!$C$7/2)*100-Auswertung!$C$8),3)</f>
        <v>0</v>
      </c>
      <c r="H13">
        <f>ROUND(TAN(RADIANS(CSV_Import!E11))*((Auswertung!$C$7/2)*100-Auswertung!$C$8),3)</f>
        <v>0</v>
      </c>
      <c r="I13">
        <f>ROUND(TAN(RADIANS(CSV_Import!V11))*((Auswertung!$C$7/2)*100-Auswertung!$C$8),3)</f>
        <v>0</v>
      </c>
      <c r="K13">
        <f>(CSV_Import!$N$2-CSV_Import!N11)</f>
        <v>0</v>
      </c>
      <c r="L13">
        <f>(CSV_Import!$AE$2-CSV_Import!AE11)</f>
        <v>0</v>
      </c>
    </row>
    <row r="14" spans="1:16" x14ac:dyDescent="0.25">
      <c r="B14">
        <f>(CSV_Import!G12-CSV_Import!$G$2)/1000</f>
        <v>0</v>
      </c>
      <c r="D14">
        <f>ROUND(TAN(RADIANS(CSV_Import!D12))*((Auswertung!$C$7*100)/2-Auswertung!$C$8),3)</f>
        <v>0</v>
      </c>
      <c r="E14">
        <f>ROUND(TAN(RADIANS(CSV_Import!U12))*((Auswertung!$C$7/2)*100-Auswertung!$C$8),3)</f>
        <v>0</v>
      </c>
      <c r="F14">
        <f>ROUND(TAN(RADIANS(CSV_Import!B12))*((Auswertung!$C$7/2)*100-Auswertung!$C$8),3)</f>
        <v>0</v>
      </c>
      <c r="G14">
        <f>ROUND(TAN(RADIANS(CSV_Import!S12))*((Auswertung!$C$7/2)*100-Auswertung!$C$8),3)</f>
        <v>0</v>
      </c>
      <c r="H14">
        <f>ROUND(TAN(RADIANS(CSV_Import!E12))*((Auswertung!$C$7/2)*100-Auswertung!$C$8),3)</f>
        <v>0</v>
      </c>
      <c r="I14">
        <f>ROUND(TAN(RADIANS(CSV_Import!V12))*((Auswertung!$C$7/2)*100-Auswertung!$C$8),3)</f>
        <v>0</v>
      </c>
      <c r="K14">
        <f>(CSV_Import!$N$2-CSV_Import!N12)</f>
        <v>0</v>
      </c>
      <c r="L14">
        <f>(CSV_Import!$AE$2-CSV_Import!AE12)</f>
        <v>0</v>
      </c>
    </row>
    <row r="15" spans="1:16" x14ac:dyDescent="0.25">
      <c r="B15">
        <f>(CSV_Import!G13-CSV_Import!$G$2)/1000</f>
        <v>0</v>
      </c>
      <c r="D15">
        <f>ROUND(TAN(RADIANS(CSV_Import!D13))*((Auswertung!$C$7*100)/2-Auswertung!$C$8),3)</f>
        <v>0</v>
      </c>
      <c r="E15">
        <f>ROUND(TAN(RADIANS(CSV_Import!U13))*((Auswertung!$C$7/2)*100-Auswertung!$C$8),3)</f>
        <v>0</v>
      </c>
      <c r="F15">
        <f>ROUND(TAN(RADIANS(CSV_Import!B13))*((Auswertung!$C$7/2)*100-Auswertung!$C$8),3)</f>
        <v>0</v>
      </c>
      <c r="G15">
        <f>ROUND(TAN(RADIANS(CSV_Import!S13))*((Auswertung!$C$7/2)*100-Auswertung!$C$8),3)</f>
        <v>0</v>
      </c>
      <c r="H15">
        <f>ROUND(TAN(RADIANS(CSV_Import!E13))*((Auswertung!$C$7/2)*100-Auswertung!$C$8),3)</f>
        <v>0</v>
      </c>
      <c r="I15">
        <f>ROUND(TAN(RADIANS(CSV_Import!V13))*((Auswertung!$C$7/2)*100-Auswertung!$C$8),3)</f>
        <v>0</v>
      </c>
      <c r="K15">
        <f>(CSV_Import!$N$2-CSV_Import!N13)</f>
        <v>0</v>
      </c>
      <c r="L15">
        <f>(CSV_Import!$AE$2-CSV_Import!AE13)</f>
        <v>0</v>
      </c>
    </row>
    <row r="16" spans="1:16" x14ac:dyDescent="0.25">
      <c r="B16">
        <f>(CSV_Import!G14-CSV_Import!$G$2)/1000</f>
        <v>0</v>
      </c>
      <c r="D16">
        <f>ROUND(TAN(RADIANS(CSV_Import!D14))*((Auswertung!$C$7*100)/2-Auswertung!$C$8),3)</f>
        <v>0</v>
      </c>
      <c r="E16">
        <f>ROUND(TAN(RADIANS(CSV_Import!U14))*((Auswertung!$C$7/2)*100-Auswertung!$C$8),3)</f>
        <v>0</v>
      </c>
      <c r="F16">
        <f>ROUND(TAN(RADIANS(CSV_Import!B14))*((Auswertung!$C$7/2)*100-Auswertung!$C$8),3)</f>
        <v>0</v>
      </c>
      <c r="G16">
        <f>ROUND(TAN(RADIANS(CSV_Import!S14))*((Auswertung!$C$7/2)*100-Auswertung!$C$8),3)</f>
        <v>0</v>
      </c>
      <c r="H16">
        <f>ROUND(TAN(RADIANS(CSV_Import!E14))*((Auswertung!$C$7/2)*100-Auswertung!$C$8),3)</f>
        <v>0</v>
      </c>
      <c r="I16">
        <f>ROUND(TAN(RADIANS(CSV_Import!V14))*((Auswertung!$C$7/2)*100-Auswertung!$C$8),3)</f>
        <v>0</v>
      </c>
      <c r="K16">
        <f>(CSV_Import!$N$2-CSV_Import!N14)</f>
        <v>0</v>
      </c>
      <c r="L16">
        <f>(CSV_Import!$AE$2-CSV_Import!AE14)</f>
        <v>0</v>
      </c>
    </row>
    <row r="17" spans="2:12" x14ac:dyDescent="0.25">
      <c r="B17">
        <f>(CSV_Import!G15-CSV_Import!$G$2)/1000</f>
        <v>0</v>
      </c>
      <c r="D17">
        <f>ROUND(TAN(RADIANS(CSV_Import!D15))*((Auswertung!$C$7*100)/2-Auswertung!$C$8),3)</f>
        <v>0</v>
      </c>
      <c r="E17">
        <f>ROUND(TAN(RADIANS(CSV_Import!U15))*((Auswertung!$C$7/2)*100-Auswertung!$C$8),3)</f>
        <v>0</v>
      </c>
      <c r="F17">
        <f>ROUND(TAN(RADIANS(CSV_Import!B15))*((Auswertung!$C$7/2)*100-Auswertung!$C$8),3)</f>
        <v>0</v>
      </c>
      <c r="G17">
        <f>ROUND(TAN(RADIANS(CSV_Import!S15))*((Auswertung!$C$7/2)*100-Auswertung!$C$8),3)</f>
        <v>0</v>
      </c>
      <c r="H17">
        <f>ROUND(TAN(RADIANS(CSV_Import!E15))*((Auswertung!$C$7/2)*100-Auswertung!$C$8),3)</f>
        <v>0</v>
      </c>
      <c r="I17">
        <f>ROUND(TAN(RADIANS(CSV_Import!V15))*((Auswertung!$C$7/2)*100-Auswertung!$C$8),3)</f>
        <v>0</v>
      </c>
      <c r="K17">
        <f>(CSV_Import!$N$2-CSV_Import!N15)</f>
        <v>0</v>
      </c>
      <c r="L17">
        <f>(CSV_Import!$AE$2-CSV_Import!AE15)</f>
        <v>0</v>
      </c>
    </row>
    <row r="18" spans="2:12" x14ac:dyDescent="0.25">
      <c r="B18">
        <f>(CSV_Import!G16-CSV_Import!$G$2)/1000</f>
        <v>0</v>
      </c>
      <c r="D18">
        <f>ROUND(TAN(RADIANS(CSV_Import!D16))*((Auswertung!$C$7*100)/2-Auswertung!$C$8),3)</f>
        <v>0</v>
      </c>
      <c r="E18">
        <f>ROUND(TAN(RADIANS(CSV_Import!U16))*((Auswertung!$C$7/2)*100-Auswertung!$C$8),3)</f>
        <v>0</v>
      </c>
      <c r="F18">
        <f>ROUND(TAN(RADIANS(CSV_Import!B16))*((Auswertung!$C$7/2)*100-Auswertung!$C$8),3)</f>
        <v>0</v>
      </c>
      <c r="G18">
        <f>ROUND(TAN(RADIANS(CSV_Import!S16))*((Auswertung!$C$7/2)*100-Auswertung!$C$8),3)</f>
        <v>0</v>
      </c>
      <c r="H18">
        <f>ROUND(TAN(RADIANS(CSV_Import!E16))*((Auswertung!$C$7/2)*100-Auswertung!$C$8),3)</f>
        <v>0</v>
      </c>
      <c r="I18">
        <f>ROUND(TAN(RADIANS(CSV_Import!V16))*((Auswertung!$C$7/2)*100-Auswertung!$C$8),3)</f>
        <v>0</v>
      </c>
      <c r="K18">
        <f>(CSV_Import!$N$2-CSV_Import!N16)</f>
        <v>0</v>
      </c>
      <c r="L18">
        <f>(CSV_Import!$AE$2-CSV_Import!AE16)</f>
        <v>0</v>
      </c>
    </row>
    <row r="19" spans="2:12" x14ac:dyDescent="0.25">
      <c r="B19">
        <f>(CSV_Import!G17-CSV_Import!$G$2)/1000</f>
        <v>0</v>
      </c>
      <c r="D19">
        <f>ROUND(TAN(RADIANS(CSV_Import!D17))*((Auswertung!$C$7*100)/2-Auswertung!$C$8),3)</f>
        <v>0</v>
      </c>
      <c r="E19">
        <f>ROUND(TAN(RADIANS(CSV_Import!U17))*((Auswertung!$C$7/2)*100-Auswertung!$C$8),3)</f>
        <v>0</v>
      </c>
      <c r="F19">
        <f>ROUND(TAN(RADIANS(CSV_Import!B17))*((Auswertung!$C$7/2)*100-Auswertung!$C$8),3)</f>
        <v>0</v>
      </c>
      <c r="G19">
        <f>ROUND(TAN(RADIANS(CSV_Import!S17))*((Auswertung!$C$7/2)*100-Auswertung!$C$8),3)</f>
        <v>0</v>
      </c>
      <c r="H19">
        <f>ROUND(TAN(RADIANS(CSV_Import!E17))*((Auswertung!$C$7/2)*100-Auswertung!$C$8),3)</f>
        <v>0</v>
      </c>
      <c r="I19">
        <f>ROUND(TAN(RADIANS(CSV_Import!V17))*((Auswertung!$C$7/2)*100-Auswertung!$C$8),3)</f>
        <v>0</v>
      </c>
      <c r="K19">
        <f>(CSV_Import!$N$2-CSV_Import!N17)</f>
        <v>0</v>
      </c>
      <c r="L19">
        <f>(CSV_Import!$AE$2-CSV_Import!AE17)</f>
        <v>0</v>
      </c>
    </row>
    <row r="20" spans="2:12" x14ac:dyDescent="0.25">
      <c r="B20">
        <f>(CSV_Import!G18-CSV_Import!$G$2)/1000</f>
        <v>0</v>
      </c>
      <c r="D20">
        <f>ROUND(TAN(RADIANS(CSV_Import!D18))*((Auswertung!$C$7*100)/2-Auswertung!$C$8),3)</f>
        <v>0</v>
      </c>
      <c r="E20">
        <f>ROUND(TAN(RADIANS(CSV_Import!U18))*((Auswertung!$C$7/2)*100-Auswertung!$C$8),3)</f>
        <v>0</v>
      </c>
      <c r="F20">
        <f>ROUND(TAN(RADIANS(CSV_Import!B18))*((Auswertung!$C$7/2)*100-Auswertung!$C$8),3)</f>
        <v>0</v>
      </c>
      <c r="G20">
        <f>ROUND(TAN(RADIANS(CSV_Import!S18))*((Auswertung!$C$7/2)*100-Auswertung!$C$8),3)</f>
        <v>0</v>
      </c>
      <c r="H20">
        <f>ROUND(TAN(RADIANS(CSV_Import!E18))*((Auswertung!$C$7/2)*100-Auswertung!$C$8),3)</f>
        <v>0</v>
      </c>
      <c r="I20">
        <f>ROUND(TAN(RADIANS(CSV_Import!V18))*((Auswertung!$C$7/2)*100-Auswertung!$C$8),3)</f>
        <v>0</v>
      </c>
      <c r="K20">
        <f>(CSV_Import!$N$2-CSV_Import!N18)</f>
        <v>0</v>
      </c>
      <c r="L20">
        <f>(CSV_Import!$AE$2-CSV_Import!AE18)</f>
        <v>0</v>
      </c>
    </row>
    <row r="21" spans="2:12" x14ac:dyDescent="0.25">
      <c r="B21">
        <f>(CSV_Import!G19-CSV_Import!$G$2)/1000</f>
        <v>0</v>
      </c>
      <c r="D21">
        <f>ROUND(TAN(RADIANS(CSV_Import!D19))*((Auswertung!$C$7*100)/2-Auswertung!$C$8),3)</f>
        <v>0</v>
      </c>
      <c r="E21">
        <f>ROUND(TAN(RADIANS(CSV_Import!U19))*((Auswertung!$C$7/2)*100-Auswertung!$C$8),3)</f>
        <v>0</v>
      </c>
      <c r="F21">
        <f>ROUND(TAN(RADIANS(CSV_Import!B19))*((Auswertung!$C$7/2)*100-Auswertung!$C$8),3)</f>
        <v>0</v>
      </c>
      <c r="G21">
        <f>ROUND(TAN(RADIANS(CSV_Import!S19))*((Auswertung!$C$7/2)*100-Auswertung!$C$8),3)</f>
        <v>0</v>
      </c>
      <c r="H21">
        <f>ROUND(TAN(RADIANS(CSV_Import!E19))*((Auswertung!$C$7/2)*100-Auswertung!$C$8),3)</f>
        <v>0</v>
      </c>
      <c r="I21">
        <f>ROUND(TAN(RADIANS(CSV_Import!V19))*((Auswertung!$C$7/2)*100-Auswertung!$C$8),3)</f>
        <v>0</v>
      </c>
      <c r="K21">
        <f>(CSV_Import!$N$2-CSV_Import!N19)</f>
        <v>0</v>
      </c>
      <c r="L21">
        <f>(CSV_Import!$AE$2-CSV_Import!AE19)</f>
        <v>0</v>
      </c>
    </row>
    <row r="22" spans="2:12" x14ac:dyDescent="0.25">
      <c r="B22">
        <f>(CSV_Import!G20-CSV_Import!$G$2)/1000</f>
        <v>0</v>
      </c>
      <c r="D22">
        <f>ROUND(TAN(RADIANS(CSV_Import!D20))*((Auswertung!$C$7*100)/2-Auswertung!$C$8),3)</f>
        <v>0</v>
      </c>
      <c r="E22">
        <f>ROUND(TAN(RADIANS(CSV_Import!U20))*((Auswertung!$C$7/2)*100-Auswertung!$C$8),3)</f>
        <v>0</v>
      </c>
      <c r="F22">
        <f>ROUND(TAN(RADIANS(CSV_Import!B20))*((Auswertung!$C$7/2)*100-Auswertung!$C$8),3)</f>
        <v>0</v>
      </c>
      <c r="G22">
        <f>ROUND(TAN(RADIANS(CSV_Import!S20))*((Auswertung!$C$7/2)*100-Auswertung!$C$8),3)</f>
        <v>0</v>
      </c>
      <c r="H22">
        <f>ROUND(TAN(RADIANS(CSV_Import!E20))*((Auswertung!$C$7/2)*100-Auswertung!$C$8),3)</f>
        <v>0</v>
      </c>
      <c r="I22">
        <f>ROUND(TAN(RADIANS(CSV_Import!V20))*((Auswertung!$C$7/2)*100-Auswertung!$C$8),3)</f>
        <v>0</v>
      </c>
      <c r="K22">
        <f>(CSV_Import!$N$2-CSV_Import!N20)</f>
        <v>0</v>
      </c>
      <c r="L22">
        <f>(CSV_Import!$AE$2-CSV_Import!AE20)</f>
        <v>0</v>
      </c>
    </row>
    <row r="23" spans="2:12" x14ac:dyDescent="0.25">
      <c r="B23">
        <f>(CSV_Import!G21-CSV_Import!$G$2)/1000</f>
        <v>0</v>
      </c>
      <c r="D23">
        <f>ROUND(TAN(RADIANS(CSV_Import!D21))*((Auswertung!$C$7*100)/2-Auswertung!$C$8),3)</f>
        <v>0</v>
      </c>
      <c r="E23">
        <f>ROUND(TAN(RADIANS(CSV_Import!U21))*((Auswertung!$C$7/2)*100-Auswertung!$C$8),3)</f>
        <v>0</v>
      </c>
      <c r="F23">
        <f>ROUND(TAN(RADIANS(CSV_Import!B21))*((Auswertung!$C$7/2)*100-Auswertung!$C$8),3)</f>
        <v>0</v>
      </c>
      <c r="G23">
        <f>ROUND(TAN(RADIANS(CSV_Import!S21))*((Auswertung!$C$7/2)*100-Auswertung!$C$8),3)</f>
        <v>0</v>
      </c>
      <c r="H23">
        <f>ROUND(TAN(RADIANS(CSV_Import!E21))*((Auswertung!$C$7/2)*100-Auswertung!$C$8),3)</f>
        <v>0</v>
      </c>
      <c r="I23">
        <f>ROUND(TAN(RADIANS(CSV_Import!V21))*((Auswertung!$C$7/2)*100-Auswertung!$C$8),3)</f>
        <v>0</v>
      </c>
      <c r="K23">
        <f>(CSV_Import!$N$2-CSV_Import!N21)</f>
        <v>0</v>
      </c>
      <c r="L23">
        <f>(CSV_Import!$AE$2-CSV_Import!AE21)</f>
        <v>0</v>
      </c>
    </row>
    <row r="24" spans="2:12" x14ac:dyDescent="0.25">
      <c r="B24">
        <f>(CSV_Import!G22-CSV_Import!$G$2)/1000</f>
        <v>0</v>
      </c>
      <c r="D24">
        <f>ROUND(TAN(RADIANS(CSV_Import!D22))*((Auswertung!$C$7*100)/2-Auswertung!$C$8),3)</f>
        <v>0</v>
      </c>
      <c r="E24">
        <f>ROUND(TAN(RADIANS(CSV_Import!U22))*((Auswertung!$C$7/2)*100-Auswertung!$C$8),3)</f>
        <v>0</v>
      </c>
      <c r="F24">
        <f>ROUND(TAN(RADIANS(CSV_Import!B22))*((Auswertung!$C$7/2)*100-Auswertung!$C$8),3)</f>
        <v>0</v>
      </c>
      <c r="G24">
        <f>ROUND(TAN(RADIANS(CSV_Import!S22))*((Auswertung!$C$7/2)*100-Auswertung!$C$8),3)</f>
        <v>0</v>
      </c>
      <c r="H24">
        <f>ROUND(TAN(RADIANS(CSV_Import!E22))*((Auswertung!$C$7/2)*100-Auswertung!$C$8),3)</f>
        <v>0</v>
      </c>
      <c r="I24">
        <f>ROUND(TAN(RADIANS(CSV_Import!V22))*((Auswertung!$C$7/2)*100-Auswertung!$C$8),3)</f>
        <v>0</v>
      </c>
      <c r="K24">
        <f>(CSV_Import!$N$2-CSV_Import!N22)</f>
        <v>0</v>
      </c>
      <c r="L24">
        <f>(CSV_Import!$AE$2-CSV_Import!AE22)</f>
        <v>0</v>
      </c>
    </row>
    <row r="25" spans="2:12" x14ac:dyDescent="0.25">
      <c r="B25">
        <f>(CSV_Import!G23-CSV_Import!$G$2)/1000</f>
        <v>0</v>
      </c>
      <c r="D25">
        <f>ROUND(TAN(RADIANS(CSV_Import!D23))*((Auswertung!$C$7*100)/2-Auswertung!$C$8),3)</f>
        <v>0</v>
      </c>
      <c r="E25">
        <f>ROUND(TAN(RADIANS(CSV_Import!U23))*((Auswertung!$C$7/2)*100-Auswertung!$C$8),3)</f>
        <v>0</v>
      </c>
      <c r="F25">
        <f>ROUND(TAN(RADIANS(CSV_Import!B23))*((Auswertung!$C$7/2)*100-Auswertung!$C$8),3)</f>
        <v>0</v>
      </c>
      <c r="G25">
        <f>ROUND(TAN(RADIANS(CSV_Import!S23))*((Auswertung!$C$7/2)*100-Auswertung!$C$8),3)</f>
        <v>0</v>
      </c>
      <c r="H25">
        <f>ROUND(TAN(RADIANS(CSV_Import!E23))*((Auswertung!$C$7/2)*100-Auswertung!$C$8),3)</f>
        <v>0</v>
      </c>
      <c r="I25">
        <f>ROUND(TAN(RADIANS(CSV_Import!V23))*((Auswertung!$C$7/2)*100-Auswertung!$C$8),3)</f>
        <v>0</v>
      </c>
      <c r="K25">
        <f>(CSV_Import!$N$2-CSV_Import!N23)</f>
        <v>0</v>
      </c>
      <c r="L25">
        <f>(CSV_Import!$AE$2-CSV_Import!AE23)</f>
        <v>0</v>
      </c>
    </row>
    <row r="26" spans="2:12" x14ac:dyDescent="0.25">
      <c r="B26">
        <f>(CSV_Import!G24-CSV_Import!$G$2)/1000</f>
        <v>0</v>
      </c>
      <c r="D26">
        <f>ROUND(TAN(RADIANS(CSV_Import!D24))*((Auswertung!$C$7*100)/2-Auswertung!$C$8),3)</f>
        <v>0</v>
      </c>
      <c r="E26">
        <f>ROUND(TAN(RADIANS(CSV_Import!U24))*((Auswertung!$C$7/2)*100-Auswertung!$C$8),3)</f>
        <v>0</v>
      </c>
      <c r="F26">
        <f>ROUND(TAN(RADIANS(CSV_Import!B24))*((Auswertung!$C$7/2)*100-Auswertung!$C$8),3)</f>
        <v>0</v>
      </c>
      <c r="G26">
        <f>ROUND(TAN(RADIANS(CSV_Import!S24))*((Auswertung!$C$7/2)*100-Auswertung!$C$8),3)</f>
        <v>0</v>
      </c>
      <c r="H26">
        <f>ROUND(TAN(RADIANS(CSV_Import!E24))*((Auswertung!$C$7/2)*100-Auswertung!$C$8),3)</f>
        <v>0</v>
      </c>
      <c r="I26">
        <f>ROUND(TAN(RADIANS(CSV_Import!V24))*((Auswertung!$C$7/2)*100-Auswertung!$C$8),3)</f>
        <v>0</v>
      </c>
      <c r="K26">
        <f>(CSV_Import!$N$2-CSV_Import!N24)</f>
        <v>0</v>
      </c>
      <c r="L26">
        <f>(CSV_Import!$AE$2-CSV_Import!AE24)</f>
        <v>0</v>
      </c>
    </row>
    <row r="27" spans="2:12" x14ac:dyDescent="0.25">
      <c r="B27">
        <f>(CSV_Import!G25-CSV_Import!$G$2)/1000</f>
        <v>0</v>
      </c>
      <c r="D27">
        <f>ROUND(TAN(RADIANS(CSV_Import!D25))*((Auswertung!$C$7*100)/2-Auswertung!$C$8),3)</f>
        <v>0</v>
      </c>
      <c r="E27">
        <f>ROUND(TAN(RADIANS(CSV_Import!U25))*((Auswertung!$C$7/2)*100-Auswertung!$C$8),3)</f>
        <v>0</v>
      </c>
      <c r="F27">
        <f>ROUND(TAN(RADIANS(CSV_Import!B25))*((Auswertung!$C$7/2)*100-Auswertung!$C$8),3)</f>
        <v>0</v>
      </c>
      <c r="G27">
        <f>ROUND(TAN(RADIANS(CSV_Import!S25))*((Auswertung!$C$7/2)*100-Auswertung!$C$8),3)</f>
        <v>0</v>
      </c>
      <c r="H27">
        <f>ROUND(TAN(RADIANS(CSV_Import!E25))*((Auswertung!$C$7/2)*100-Auswertung!$C$8),3)</f>
        <v>0</v>
      </c>
      <c r="I27">
        <f>ROUND(TAN(RADIANS(CSV_Import!V25))*((Auswertung!$C$7/2)*100-Auswertung!$C$8),3)</f>
        <v>0</v>
      </c>
      <c r="K27">
        <f>(CSV_Import!$N$2-CSV_Import!N25)</f>
        <v>0</v>
      </c>
      <c r="L27">
        <f>(CSV_Import!$AE$2-CSV_Import!AE25)</f>
        <v>0</v>
      </c>
    </row>
    <row r="28" spans="2:12" x14ac:dyDescent="0.25">
      <c r="B28">
        <f>(CSV_Import!G26-CSV_Import!$G$2)/1000</f>
        <v>0</v>
      </c>
      <c r="D28">
        <f>ROUND(TAN(RADIANS(CSV_Import!D26))*((Auswertung!$C$7*100)/2-Auswertung!$C$8),3)</f>
        <v>0</v>
      </c>
      <c r="E28">
        <f>ROUND(TAN(RADIANS(CSV_Import!U26))*((Auswertung!$C$7/2)*100-Auswertung!$C$8),3)</f>
        <v>0</v>
      </c>
      <c r="F28">
        <f>ROUND(TAN(RADIANS(CSV_Import!B26))*((Auswertung!$C$7/2)*100-Auswertung!$C$8),3)</f>
        <v>0</v>
      </c>
      <c r="G28">
        <f>ROUND(TAN(RADIANS(CSV_Import!S26))*((Auswertung!$C$7/2)*100-Auswertung!$C$8),3)</f>
        <v>0</v>
      </c>
      <c r="H28">
        <f>ROUND(TAN(RADIANS(CSV_Import!E26))*((Auswertung!$C$7/2)*100-Auswertung!$C$8),3)</f>
        <v>0</v>
      </c>
      <c r="I28">
        <f>ROUND(TAN(RADIANS(CSV_Import!V26))*((Auswertung!$C$7/2)*100-Auswertung!$C$8),3)</f>
        <v>0</v>
      </c>
      <c r="K28">
        <f>(CSV_Import!$N$2-CSV_Import!N26)</f>
        <v>0</v>
      </c>
      <c r="L28">
        <f>(CSV_Import!$AE$2-CSV_Import!AE26)</f>
        <v>0</v>
      </c>
    </row>
    <row r="29" spans="2:12" x14ac:dyDescent="0.25">
      <c r="B29">
        <f>(CSV_Import!G27-CSV_Import!$G$2)/1000</f>
        <v>0</v>
      </c>
      <c r="D29">
        <f>ROUND(TAN(RADIANS(CSV_Import!D27))*((Auswertung!$C$7*100)/2-Auswertung!$C$8),3)</f>
        <v>0</v>
      </c>
      <c r="E29">
        <f>ROUND(TAN(RADIANS(CSV_Import!U27))*((Auswertung!$C$7/2)*100-Auswertung!$C$8),3)</f>
        <v>0</v>
      </c>
      <c r="F29">
        <f>ROUND(TAN(RADIANS(CSV_Import!B27))*((Auswertung!$C$7/2)*100-Auswertung!$C$8),3)</f>
        <v>0</v>
      </c>
      <c r="G29">
        <f>ROUND(TAN(RADIANS(CSV_Import!S27))*((Auswertung!$C$7/2)*100-Auswertung!$C$8),3)</f>
        <v>0</v>
      </c>
      <c r="H29">
        <f>ROUND(TAN(RADIANS(CSV_Import!E27))*((Auswertung!$C$7/2)*100-Auswertung!$C$8),3)</f>
        <v>0</v>
      </c>
      <c r="I29">
        <f>ROUND(TAN(RADIANS(CSV_Import!V27))*((Auswertung!$C$7/2)*100-Auswertung!$C$8),3)</f>
        <v>0</v>
      </c>
      <c r="K29">
        <f>(CSV_Import!$N$2-CSV_Import!N27)</f>
        <v>0</v>
      </c>
      <c r="L29">
        <f>(CSV_Import!$AE$2-CSV_Import!AE27)</f>
        <v>0</v>
      </c>
    </row>
    <row r="30" spans="2:12" x14ac:dyDescent="0.25">
      <c r="B30">
        <f>(CSV_Import!G28-CSV_Import!$G$2)/1000</f>
        <v>0</v>
      </c>
      <c r="D30">
        <f>ROUND(TAN(RADIANS(CSV_Import!D28))*((Auswertung!$C$7*100)/2-Auswertung!$C$8),3)</f>
        <v>0</v>
      </c>
      <c r="E30">
        <f>ROUND(TAN(RADIANS(CSV_Import!U28))*((Auswertung!$C$7/2)*100-Auswertung!$C$8),3)</f>
        <v>0</v>
      </c>
      <c r="F30">
        <f>ROUND(TAN(RADIANS(CSV_Import!B28))*((Auswertung!$C$7/2)*100-Auswertung!$C$8),3)</f>
        <v>0</v>
      </c>
      <c r="G30">
        <f>ROUND(TAN(RADIANS(CSV_Import!S28))*((Auswertung!$C$7/2)*100-Auswertung!$C$8),3)</f>
        <v>0</v>
      </c>
      <c r="H30">
        <f>ROUND(TAN(RADIANS(CSV_Import!E28))*((Auswertung!$C$7/2)*100-Auswertung!$C$8),3)</f>
        <v>0</v>
      </c>
      <c r="I30">
        <f>ROUND(TAN(RADIANS(CSV_Import!V28))*((Auswertung!$C$7/2)*100-Auswertung!$C$8),3)</f>
        <v>0</v>
      </c>
      <c r="K30">
        <f>(CSV_Import!$N$2-CSV_Import!N28)</f>
        <v>0</v>
      </c>
      <c r="L30">
        <f>(CSV_Import!$AE$2-CSV_Import!AE28)</f>
        <v>0</v>
      </c>
    </row>
    <row r="31" spans="2:12" x14ac:dyDescent="0.25">
      <c r="B31">
        <f>(CSV_Import!G29-CSV_Import!$G$2)/1000</f>
        <v>0</v>
      </c>
      <c r="D31">
        <f>ROUND(TAN(RADIANS(CSV_Import!D29))*((Auswertung!$C$7*100)/2-Auswertung!$C$8),3)</f>
        <v>0</v>
      </c>
      <c r="E31">
        <f>ROUND(TAN(RADIANS(CSV_Import!U29))*((Auswertung!$C$7/2)*100-Auswertung!$C$8),3)</f>
        <v>0</v>
      </c>
      <c r="F31">
        <f>ROUND(TAN(RADIANS(CSV_Import!B29))*((Auswertung!$C$7/2)*100-Auswertung!$C$8),3)</f>
        <v>0</v>
      </c>
      <c r="G31">
        <f>ROUND(TAN(RADIANS(CSV_Import!S29))*((Auswertung!$C$7/2)*100-Auswertung!$C$8),3)</f>
        <v>0</v>
      </c>
      <c r="H31">
        <f>ROUND(TAN(RADIANS(CSV_Import!E29))*((Auswertung!$C$7/2)*100-Auswertung!$C$8),3)</f>
        <v>0</v>
      </c>
      <c r="I31">
        <f>ROUND(TAN(RADIANS(CSV_Import!V29))*((Auswertung!$C$7/2)*100-Auswertung!$C$8),3)</f>
        <v>0</v>
      </c>
      <c r="K31">
        <f>(CSV_Import!$N$2-CSV_Import!N29)</f>
        <v>0</v>
      </c>
      <c r="L31">
        <f>(CSV_Import!$AE$2-CSV_Import!AE29)</f>
        <v>0</v>
      </c>
    </row>
    <row r="32" spans="2:12" x14ac:dyDescent="0.25">
      <c r="B32">
        <f>(CSV_Import!G30-CSV_Import!$G$2)/1000</f>
        <v>0</v>
      </c>
      <c r="D32">
        <f>ROUND(TAN(RADIANS(CSV_Import!D30))*((Auswertung!$C$7*100)/2-Auswertung!$C$8),3)</f>
        <v>0</v>
      </c>
      <c r="E32">
        <f>ROUND(TAN(RADIANS(CSV_Import!U30))*((Auswertung!$C$7/2)*100-Auswertung!$C$8),3)</f>
        <v>0</v>
      </c>
      <c r="F32">
        <f>ROUND(TAN(RADIANS(CSV_Import!B30))*((Auswertung!$C$7/2)*100-Auswertung!$C$8),3)</f>
        <v>0</v>
      </c>
      <c r="G32">
        <f>ROUND(TAN(RADIANS(CSV_Import!S30))*((Auswertung!$C$7/2)*100-Auswertung!$C$8),3)</f>
        <v>0</v>
      </c>
      <c r="H32">
        <f>ROUND(TAN(RADIANS(CSV_Import!E30))*((Auswertung!$C$7/2)*100-Auswertung!$C$8),3)</f>
        <v>0</v>
      </c>
      <c r="I32">
        <f>ROUND(TAN(RADIANS(CSV_Import!V30))*((Auswertung!$C$7/2)*100-Auswertung!$C$8),3)</f>
        <v>0</v>
      </c>
      <c r="K32">
        <f>(CSV_Import!$N$2-CSV_Import!N30)</f>
        <v>0</v>
      </c>
      <c r="L32">
        <f>(CSV_Import!$AE$2-CSV_Import!AE30)</f>
        <v>0</v>
      </c>
    </row>
    <row r="33" spans="2:12" x14ac:dyDescent="0.25">
      <c r="B33">
        <f>(CSV_Import!G31-CSV_Import!$G$2)/1000</f>
        <v>0</v>
      </c>
      <c r="D33">
        <f>ROUND(TAN(RADIANS(CSV_Import!D31))*((Auswertung!$C$7*100)/2-Auswertung!$C$8),3)</f>
        <v>0</v>
      </c>
      <c r="E33">
        <f>ROUND(TAN(RADIANS(CSV_Import!U31))*((Auswertung!$C$7/2)*100-Auswertung!$C$8),3)</f>
        <v>0</v>
      </c>
      <c r="F33">
        <f>ROUND(TAN(RADIANS(CSV_Import!B31))*((Auswertung!$C$7/2)*100-Auswertung!$C$8),3)</f>
        <v>0</v>
      </c>
      <c r="G33">
        <f>ROUND(TAN(RADIANS(CSV_Import!S31))*((Auswertung!$C$7/2)*100-Auswertung!$C$8),3)</f>
        <v>0</v>
      </c>
      <c r="H33">
        <f>ROUND(TAN(RADIANS(CSV_Import!E31))*((Auswertung!$C$7/2)*100-Auswertung!$C$8),3)</f>
        <v>0</v>
      </c>
      <c r="I33">
        <f>ROUND(TAN(RADIANS(CSV_Import!V31))*((Auswertung!$C$7/2)*100-Auswertung!$C$8),3)</f>
        <v>0</v>
      </c>
      <c r="K33">
        <f>(CSV_Import!$N$2-CSV_Import!N31)</f>
        <v>0</v>
      </c>
      <c r="L33">
        <f>(CSV_Import!$AE$2-CSV_Import!AE31)</f>
        <v>0</v>
      </c>
    </row>
    <row r="34" spans="2:12" x14ac:dyDescent="0.25">
      <c r="B34">
        <f>(CSV_Import!G32-CSV_Import!$G$2)/1000</f>
        <v>0</v>
      </c>
      <c r="D34">
        <f>ROUND(TAN(RADIANS(CSV_Import!D32))*((Auswertung!$C$7*100)/2-Auswertung!$C$8),3)</f>
        <v>0</v>
      </c>
      <c r="E34">
        <f>ROUND(TAN(RADIANS(CSV_Import!U32))*((Auswertung!$C$7/2)*100-Auswertung!$C$8),3)</f>
        <v>0</v>
      </c>
      <c r="F34">
        <f>ROUND(TAN(RADIANS(CSV_Import!B32))*((Auswertung!$C$7/2)*100-Auswertung!$C$8),3)</f>
        <v>0</v>
      </c>
      <c r="G34">
        <f>ROUND(TAN(RADIANS(CSV_Import!S32))*((Auswertung!$C$7/2)*100-Auswertung!$C$8),3)</f>
        <v>0</v>
      </c>
      <c r="H34">
        <f>ROUND(TAN(RADIANS(CSV_Import!E32))*((Auswertung!$C$7/2)*100-Auswertung!$C$8),3)</f>
        <v>0</v>
      </c>
      <c r="I34">
        <f>ROUND(TAN(RADIANS(CSV_Import!V32))*((Auswertung!$C$7/2)*100-Auswertung!$C$8),3)</f>
        <v>0</v>
      </c>
      <c r="K34">
        <f>(CSV_Import!$N$2-CSV_Import!N32)</f>
        <v>0</v>
      </c>
      <c r="L34">
        <f>(CSV_Import!$AE$2-CSV_Import!AE32)</f>
        <v>0</v>
      </c>
    </row>
    <row r="35" spans="2:12" x14ac:dyDescent="0.25">
      <c r="B35">
        <f>(CSV_Import!G33-CSV_Import!$G$2)/1000</f>
        <v>0</v>
      </c>
      <c r="D35">
        <f>ROUND(TAN(RADIANS(CSV_Import!D33))*((Auswertung!$C$7*100)/2-Auswertung!$C$8),3)</f>
        <v>0</v>
      </c>
      <c r="E35">
        <f>ROUND(TAN(RADIANS(CSV_Import!U33))*((Auswertung!$C$7/2)*100-Auswertung!$C$8),3)</f>
        <v>0</v>
      </c>
      <c r="F35">
        <f>ROUND(TAN(RADIANS(CSV_Import!B33))*((Auswertung!$C$7/2)*100-Auswertung!$C$8),3)</f>
        <v>0</v>
      </c>
      <c r="G35">
        <f>ROUND(TAN(RADIANS(CSV_Import!S33))*((Auswertung!$C$7/2)*100-Auswertung!$C$8),3)</f>
        <v>0</v>
      </c>
      <c r="H35">
        <f>ROUND(TAN(RADIANS(CSV_Import!E33))*((Auswertung!$C$7/2)*100-Auswertung!$C$8),3)</f>
        <v>0</v>
      </c>
      <c r="I35">
        <f>ROUND(TAN(RADIANS(CSV_Import!V33))*((Auswertung!$C$7/2)*100-Auswertung!$C$8),3)</f>
        <v>0</v>
      </c>
      <c r="K35">
        <f>(CSV_Import!$N$2-CSV_Import!N33)</f>
        <v>0</v>
      </c>
      <c r="L35">
        <f>(CSV_Import!$AE$2-CSV_Import!AE33)</f>
        <v>0</v>
      </c>
    </row>
    <row r="36" spans="2:12" x14ac:dyDescent="0.25">
      <c r="B36">
        <f>(CSV_Import!G34-CSV_Import!$G$2)/1000</f>
        <v>0</v>
      </c>
      <c r="D36">
        <f>ROUND(TAN(RADIANS(CSV_Import!D34))*((Auswertung!$C$7*100)/2-Auswertung!$C$8),3)</f>
        <v>0</v>
      </c>
      <c r="E36">
        <f>ROUND(TAN(RADIANS(CSV_Import!U34))*((Auswertung!$C$7/2)*100-Auswertung!$C$8),3)</f>
        <v>0</v>
      </c>
      <c r="F36">
        <f>ROUND(TAN(RADIANS(CSV_Import!B34))*((Auswertung!$C$7/2)*100-Auswertung!$C$8),3)</f>
        <v>0</v>
      </c>
      <c r="G36">
        <f>ROUND(TAN(RADIANS(CSV_Import!S34))*((Auswertung!$C$7/2)*100-Auswertung!$C$8),3)</f>
        <v>0</v>
      </c>
      <c r="H36">
        <f>ROUND(TAN(RADIANS(CSV_Import!E34))*((Auswertung!$C$7/2)*100-Auswertung!$C$8),3)</f>
        <v>0</v>
      </c>
      <c r="I36">
        <f>ROUND(TAN(RADIANS(CSV_Import!V34))*((Auswertung!$C$7/2)*100-Auswertung!$C$8),3)</f>
        <v>0</v>
      </c>
      <c r="K36">
        <f>(CSV_Import!$N$2-CSV_Import!N34)</f>
        <v>0</v>
      </c>
      <c r="L36">
        <f>(CSV_Import!$AE$2-CSV_Import!AE34)</f>
        <v>0</v>
      </c>
    </row>
    <row r="37" spans="2:12" x14ac:dyDescent="0.25">
      <c r="B37">
        <f>(CSV_Import!G35-CSV_Import!$G$2)/1000</f>
        <v>0</v>
      </c>
      <c r="D37">
        <f>ROUND(TAN(RADIANS(CSV_Import!D35))*((Auswertung!$C$7*100)/2-Auswertung!$C$8),3)</f>
        <v>0</v>
      </c>
      <c r="E37">
        <f>ROUND(TAN(RADIANS(CSV_Import!U35))*((Auswertung!$C$7/2)*100-Auswertung!$C$8),3)</f>
        <v>0</v>
      </c>
      <c r="F37">
        <f>ROUND(TAN(RADIANS(CSV_Import!B35))*((Auswertung!$C$7/2)*100-Auswertung!$C$8),3)</f>
        <v>0</v>
      </c>
      <c r="G37">
        <f>ROUND(TAN(RADIANS(CSV_Import!S35))*((Auswertung!$C$7/2)*100-Auswertung!$C$8),3)</f>
        <v>0</v>
      </c>
      <c r="H37">
        <f>ROUND(TAN(RADIANS(CSV_Import!E35))*((Auswertung!$C$7/2)*100-Auswertung!$C$8),3)</f>
        <v>0</v>
      </c>
      <c r="I37">
        <f>ROUND(TAN(RADIANS(CSV_Import!V35))*((Auswertung!$C$7/2)*100-Auswertung!$C$8),3)</f>
        <v>0</v>
      </c>
      <c r="K37">
        <f>(CSV_Import!$N$2-CSV_Import!N35)</f>
        <v>0</v>
      </c>
      <c r="L37">
        <f>(CSV_Import!$AE$2-CSV_Import!AE35)</f>
        <v>0</v>
      </c>
    </row>
    <row r="38" spans="2:12" x14ac:dyDescent="0.25">
      <c r="B38">
        <f>(CSV_Import!G36-CSV_Import!$G$2)/1000</f>
        <v>0</v>
      </c>
      <c r="D38">
        <f>ROUND(TAN(RADIANS(CSV_Import!D36))*((Auswertung!$C$7*100)/2-Auswertung!$C$8),3)</f>
        <v>0</v>
      </c>
      <c r="E38">
        <f>ROUND(TAN(RADIANS(CSV_Import!U36))*((Auswertung!$C$7/2)*100-Auswertung!$C$8),3)</f>
        <v>0</v>
      </c>
      <c r="F38">
        <f>ROUND(TAN(RADIANS(CSV_Import!B36))*((Auswertung!$C$7/2)*100-Auswertung!$C$8),3)</f>
        <v>0</v>
      </c>
      <c r="G38">
        <f>ROUND(TAN(RADIANS(CSV_Import!S36))*((Auswertung!$C$7/2)*100-Auswertung!$C$8),3)</f>
        <v>0</v>
      </c>
      <c r="H38">
        <f>ROUND(TAN(RADIANS(CSV_Import!E36))*((Auswertung!$C$7/2)*100-Auswertung!$C$8),3)</f>
        <v>0</v>
      </c>
      <c r="I38">
        <f>ROUND(TAN(RADIANS(CSV_Import!V36))*((Auswertung!$C$7/2)*100-Auswertung!$C$8),3)</f>
        <v>0</v>
      </c>
      <c r="K38">
        <f>(CSV_Import!$N$2-CSV_Import!N36)</f>
        <v>0</v>
      </c>
      <c r="L38">
        <f>(CSV_Import!$AE$2-CSV_Import!AE36)</f>
        <v>0</v>
      </c>
    </row>
    <row r="39" spans="2:12" x14ac:dyDescent="0.25">
      <c r="B39">
        <f>(CSV_Import!G37-CSV_Import!$G$2)/1000</f>
        <v>0</v>
      </c>
      <c r="D39">
        <f>ROUND(TAN(RADIANS(CSV_Import!D37))*((Auswertung!$C$7*100)/2-Auswertung!$C$8),3)</f>
        <v>0</v>
      </c>
      <c r="E39">
        <f>ROUND(TAN(RADIANS(CSV_Import!U37))*((Auswertung!$C$7/2)*100-Auswertung!$C$8),3)</f>
        <v>0</v>
      </c>
      <c r="F39">
        <f>ROUND(TAN(RADIANS(CSV_Import!B37))*((Auswertung!$C$7/2)*100-Auswertung!$C$8),3)</f>
        <v>0</v>
      </c>
      <c r="G39">
        <f>ROUND(TAN(RADIANS(CSV_Import!S37))*((Auswertung!$C$7/2)*100-Auswertung!$C$8),3)</f>
        <v>0</v>
      </c>
      <c r="H39">
        <f>ROUND(TAN(RADIANS(CSV_Import!E37))*((Auswertung!$C$7/2)*100-Auswertung!$C$8),3)</f>
        <v>0</v>
      </c>
      <c r="I39">
        <f>ROUND(TAN(RADIANS(CSV_Import!V37))*((Auswertung!$C$7/2)*100-Auswertung!$C$8),3)</f>
        <v>0</v>
      </c>
      <c r="K39">
        <f>(CSV_Import!$N$2-CSV_Import!N37)</f>
        <v>0</v>
      </c>
      <c r="L39">
        <f>(CSV_Import!$AE$2-CSV_Import!AE37)</f>
        <v>0</v>
      </c>
    </row>
    <row r="40" spans="2:12" x14ac:dyDescent="0.25">
      <c r="B40">
        <f>(CSV_Import!G38-CSV_Import!$G$2)/1000</f>
        <v>0</v>
      </c>
      <c r="D40">
        <f>ROUND(TAN(RADIANS(CSV_Import!D38))*((Auswertung!$C$7*100)/2-Auswertung!$C$8),3)</f>
        <v>0</v>
      </c>
      <c r="E40">
        <f>ROUND(TAN(RADIANS(CSV_Import!U38))*((Auswertung!$C$7/2)*100-Auswertung!$C$8),3)</f>
        <v>0</v>
      </c>
      <c r="F40">
        <f>ROUND(TAN(RADIANS(CSV_Import!B38))*((Auswertung!$C$7/2)*100-Auswertung!$C$8),3)</f>
        <v>0</v>
      </c>
      <c r="G40">
        <f>ROUND(TAN(RADIANS(CSV_Import!S38))*((Auswertung!$C$7/2)*100-Auswertung!$C$8),3)</f>
        <v>0</v>
      </c>
      <c r="H40">
        <f>ROUND(TAN(RADIANS(CSV_Import!E38))*((Auswertung!$C$7/2)*100-Auswertung!$C$8),3)</f>
        <v>0</v>
      </c>
      <c r="I40">
        <f>ROUND(TAN(RADIANS(CSV_Import!V38))*((Auswertung!$C$7/2)*100-Auswertung!$C$8),3)</f>
        <v>0</v>
      </c>
      <c r="K40">
        <f>(CSV_Import!$N$2-CSV_Import!N38)</f>
        <v>0</v>
      </c>
      <c r="L40">
        <f>(CSV_Import!$AE$2-CSV_Import!AE38)</f>
        <v>0</v>
      </c>
    </row>
    <row r="41" spans="2:12" x14ac:dyDescent="0.25">
      <c r="B41">
        <f>(CSV_Import!G39-CSV_Import!$G$2)/1000</f>
        <v>0</v>
      </c>
      <c r="D41">
        <f>ROUND(TAN(RADIANS(CSV_Import!D39))*((Auswertung!$C$7*100)/2-Auswertung!$C$8),3)</f>
        <v>0</v>
      </c>
      <c r="E41">
        <f>ROUND(TAN(RADIANS(CSV_Import!U39))*((Auswertung!$C$7/2)*100-Auswertung!$C$8),3)</f>
        <v>0</v>
      </c>
      <c r="F41">
        <f>ROUND(TAN(RADIANS(CSV_Import!B39))*((Auswertung!$C$7/2)*100-Auswertung!$C$8),3)</f>
        <v>0</v>
      </c>
      <c r="G41">
        <f>ROUND(TAN(RADIANS(CSV_Import!S39))*((Auswertung!$C$7/2)*100-Auswertung!$C$8),3)</f>
        <v>0</v>
      </c>
      <c r="H41">
        <f>ROUND(TAN(RADIANS(CSV_Import!E39))*((Auswertung!$C$7/2)*100-Auswertung!$C$8),3)</f>
        <v>0</v>
      </c>
      <c r="I41">
        <f>ROUND(TAN(RADIANS(CSV_Import!V39))*((Auswertung!$C$7/2)*100-Auswertung!$C$8),3)</f>
        <v>0</v>
      </c>
      <c r="K41">
        <f>(CSV_Import!$N$2-CSV_Import!N39)</f>
        <v>0</v>
      </c>
      <c r="L41">
        <f>(CSV_Import!$AE$2-CSV_Import!AE39)</f>
        <v>0</v>
      </c>
    </row>
    <row r="42" spans="2:12" x14ac:dyDescent="0.25">
      <c r="B42">
        <f>(CSV_Import!G40-CSV_Import!$G$2)/1000</f>
        <v>0</v>
      </c>
      <c r="D42">
        <f>ROUND(TAN(RADIANS(CSV_Import!D40))*((Auswertung!$C$7*100)/2-Auswertung!$C$8),3)</f>
        <v>0</v>
      </c>
      <c r="E42">
        <f>ROUND(TAN(RADIANS(CSV_Import!U40))*((Auswertung!$C$7/2)*100-Auswertung!$C$8),3)</f>
        <v>0</v>
      </c>
      <c r="F42">
        <f>ROUND(TAN(RADIANS(CSV_Import!B40))*((Auswertung!$C$7/2)*100-Auswertung!$C$8),3)</f>
        <v>0</v>
      </c>
      <c r="G42">
        <f>ROUND(TAN(RADIANS(CSV_Import!S40))*((Auswertung!$C$7/2)*100-Auswertung!$C$8),3)</f>
        <v>0</v>
      </c>
      <c r="H42">
        <f>ROUND(TAN(RADIANS(CSV_Import!E40))*((Auswertung!$C$7/2)*100-Auswertung!$C$8),3)</f>
        <v>0</v>
      </c>
      <c r="I42">
        <f>ROUND(TAN(RADIANS(CSV_Import!V40))*((Auswertung!$C$7/2)*100-Auswertung!$C$8),3)</f>
        <v>0</v>
      </c>
      <c r="K42">
        <f>(CSV_Import!$N$2-CSV_Import!N40)</f>
        <v>0</v>
      </c>
      <c r="L42">
        <f>(CSV_Import!$AE$2-CSV_Import!AE40)</f>
        <v>0</v>
      </c>
    </row>
    <row r="43" spans="2:12" x14ac:dyDescent="0.25">
      <c r="B43">
        <f>(CSV_Import!G41-CSV_Import!$G$2)/1000</f>
        <v>0</v>
      </c>
      <c r="D43">
        <f>ROUND(TAN(RADIANS(CSV_Import!D41))*((Auswertung!$C$7*100)/2-Auswertung!$C$8),3)</f>
        <v>0</v>
      </c>
      <c r="E43">
        <f>ROUND(TAN(RADIANS(CSV_Import!U41))*((Auswertung!$C$7/2)*100-Auswertung!$C$8),3)</f>
        <v>0</v>
      </c>
      <c r="F43">
        <f>ROUND(TAN(RADIANS(CSV_Import!B41))*((Auswertung!$C$7/2)*100-Auswertung!$C$8),3)</f>
        <v>0</v>
      </c>
      <c r="G43">
        <f>ROUND(TAN(RADIANS(CSV_Import!S41))*((Auswertung!$C$7/2)*100-Auswertung!$C$8),3)</f>
        <v>0</v>
      </c>
      <c r="H43">
        <f>ROUND(TAN(RADIANS(CSV_Import!E41))*((Auswertung!$C$7/2)*100-Auswertung!$C$8),3)</f>
        <v>0</v>
      </c>
      <c r="I43">
        <f>ROUND(TAN(RADIANS(CSV_Import!V41))*((Auswertung!$C$7/2)*100-Auswertung!$C$8),3)</f>
        <v>0</v>
      </c>
      <c r="K43">
        <f>(CSV_Import!$N$2-CSV_Import!N41)</f>
        <v>0</v>
      </c>
      <c r="L43">
        <f>(CSV_Import!$AE$2-CSV_Import!AE41)</f>
        <v>0</v>
      </c>
    </row>
    <row r="44" spans="2:12" x14ac:dyDescent="0.25">
      <c r="B44">
        <f>(CSV_Import!G42-CSV_Import!$G$2)/1000</f>
        <v>0</v>
      </c>
      <c r="D44">
        <f>ROUND(TAN(RADIANS(CSV_Import!D42))*((Auswertung!$C$7*100)/2-Auswertung!$C$8),3)</f>
        <v>0</v>
      </c>
      <c r="E44">
        <f>ROUND(TAN(RADIANS(CSV_Import!U42))*((Auswertung!$C$7/2)*100-Auswertung!$C$8),3)</f>
        <v>0</v>
      </c>
      <c r="F44">
        <f>ROUND(TAN(RADIANS(CSV_Import!B42))*((Auswertung!$C$7/2)*100-Auswertung!$C$8),3)</f>
        <v>0</v>
      </c>
      <c r="G44">
        <f>ROUND(TAN(RADIANS(CSV_Import!S42))*((Auswertung!$C$7/2)*100-Auswertung!$C$8),3)</f>
        <v>0</v>
      </c>
      <c r="H44">
        <f>ROUND(TAN(RADIANS(CSV_Import!E42))*((Auswertung!$C$7/2)*100-Auswertung!$C$8),3)</f>
        <v>0</v>
      </c>
      <c r="I44">
        <f>ROUND(TAN(RADIANS(CSV_Import!V42))*((Auswertung!$C$7/2)*100-Auswertung!$C$8),3)</f>
        <v>0</v>
      </c>
      <c r="K44">
        <f>(CSV_Import!$N$2-CSV_Import!N42)</f>
        <v>0</v>
      </c>
      <c r="L44">
        <f>(CSV_Import!$AE$2-CSV_Import!AE42)</f>
        <v>0</v>
      </c>
    </row>
    <row r="45" spans="2:12" x14ac:dyDescent="0.25">
      <c r="B45">
        <f>(CSV_Import!G43-CSV_Import!$G$2)/1000</f>
        <v>0</v>
      </c>
      <c r="D45">
        <f>ROUND(TAN(RADIANS(CSV_Import!D43))*((Auswertung!$C$7*100)/2-Auswertung!$C$8),3)</f>
        <v>0</v>
      </c>
      <c r="E45">
        <f>ROUND(TAN(RADIANS(CSV_Import!U43))*((Auswertung!$C$7/2)*100-Auswertung!$C$8),3)</f>
        <v>0</v>
      </c>
      <c r="F45">
        <f>ROUND(TAN(RADIANS(CSV_Import!B43))*((Auswertung!$C$7/2)*100-Auswertung!$C$8),3)</f>
        <v>0</v>
      </c>
      <c r="G45">
        <f>ROUND(TAN(RADIANS(CSV_Import!S43))*((Auswertung!$C$7/2)*100-Auswertung!$C$8),3)</f>
        <v>0</v>
      </c>
      <c r="H45">
        <f>ROUND(TAN(RADIANS(CSV_Import!E43))*((Auswertung!$C$7/2)*100-Auswertung!$C$8),3)</f>
        <v>0</v>
      </c>
      <c r="I45">
        <f>ROUND(TAN(RADIANS(CSV_Import!V43))*((Auswertung!$C$7/2)*100-Auswertung!$C$8),3)</f>
        <v>0</v>
      </c>
      <c r="K45">
        <f>(CSV_Import!$N$2-CSV_Import!N43)</f>
        <v>0</v>
      </c>
      <c r="L45">
        <f>(CSV_Import!$AE$2-CSV_Import!AE43)</f>
        <v>0</v>
      </c>
    </row>
    <row r="46" spans="2:12" x14ac:dyDescent="0.25">
      <c r="B46">
        <f>(CSV_Import!G44-CSV_Import!$G$2)/1000</f>
        <v>0</v>
      </c>
      <c r="D46">
        <f>ROUND(TAN(RADIANS(CSV_Import!D44))*((Auswertung!$C$7*100)/2-Auswertung!$C$8),3)</f>
        <v>0</v>
      </c>
      <c r="E46">
        <f>ROUND(TAN(RADIANS(CSV_Import!U44))*((Auswertung!$C$7/2)*100-Auswertung!$C$8),3)</f>
        <v>0</v>
      </c>
      <c r="F46">
        <f>ROUND(TAN(RADIANS(CSV_Import!B44))*((Auswertung!$C$7/2)*100-Auswertung!$C$8),3)</f>
        <v>0</v>
      </c>
      <c r="G46">
        <f>ROUND(TAN(RADIANS(CSV_Import!S44))*((Auswertung!$C$7/2)*100-Auswertung!$C$8),3)</f>
        <v>0</v>
      </c>
      <c r="H46">
        <f>ROUND(TAN(RADIANS(CSV_Import!E44))*((Auswertung!$C$7/2)*100-Auswertung!$C$8),3)</f>
        <v>0</v>
      </c>
      <c r="I46">
        <f>ROUND(TAN(RADIANS(CSV_Import!V44))*((Auswertung!$C$7/2)*100-Auswertung!$C$8),3)</f>
        <v>0</v>
      </c>
      <c r="K46">
        <f>(CSV_Import!$N$2-CSV_Import!N44)</f>
        <v>0</v>
      </c>
      <c r="L46">
        <f>(CSV_Import!$AE$2-CSV_Import!AE44)</f>
        <v>0</v>
      </c>
    </row>
    <row r="47" spans="2:12" x14ac:dyDescent="0.25">
      <c r="B47">
        <f>(CSV_Import!G45-CSV_Import!$G$2)/1000</f>
        <v>0</v>
      </c>
      <c r="D47">
        <f>ROUND(TAN(RADIANS(CSV_Import!D45))*((Auswertung!$C$7*100)/2-Auswertung!$C$8),3)</f>
        <v>0</v>
      </c>
      <c r="E47">
        <f>ROUND(TAN(RADIANS(CSV_Import!U45))*((Auswertung!$C$7/2)*100-Auswertung!$C$8),3)</f>
        <v>0</v>
      </c>
      <c r="F47">
        <f>ROUND(TAN(RADIANS(CSV_Import!B45))*((Auswertung!$C$7/2)*100-Auswertung!$C$8),3)</f>
        <v>0</v>
      </c>
      <c r="G47">
        <f>ROUND(TAN(RADIANS(CSV_Import!S45))*((Auswertung!$C$7/2)*100-Auswertung!$C$8),3)</f>
        <v>0</v>
      </c>
      <c r="H47">
        <f>ROUND(TAN(RADIANS(CSV_Import!E45))*((Auswertung!$C$7/2)*100-Auswertung!$C$8),3)</f>
        <v>0</v>
      </c>
      <c r="I47">
        <f>ROUND(TAN(RADIANS(CSV_Import!V45))*((Auswertung!$C$7/2)*100-Auswertung!$C$8),3)</f>
        <v>0</v>
      </c>
      <c r="K47">
        <f>(CSV_Import!$N$2-CSV_Import!N45)</f>
        <v>0</v>
      </c>
      <c r="L47">
        <f>(CSV_Import!$AE$2-CSV_Import!AE45)</f>
        <v>0</v>
      </c>
    </row>
    <row r="48" spans="2:12" x14ac:dyDescent="0.25">
      <c r="B48">
        <f>(CSV_Import!G46-CSV_Import!$G$2)/1000</f>
        <v>0</v>
      </c>
      <c r="D48">
        <f>ROUND(TAN(RADIANS(CSV_Import!D46))*((Auswertung!$C$7*100)/2-Auswertung!$C$8),3)</f>
        <v>0</v>
      </c>
      <c r="E48">
        <f>ROUND(TAN(RADIANS(CSV_Import!U46))*((Auswertung!$C$7/2)*100-Auswertung!$C$8),3)</f>
        <v>0</v>
      </c>
      <c r="F48">
        <f>ROUND(TAN(RADIANS(CSV_Import!B46))*((Auswertung!$C$7/2)*100-Auswertung!$C$8),3)</f>
        <v>0</v>
      </c>
      <c r="G48">
        <f>ROUND(TAN(RADIANS(CSV_Import!S46))*((Auswertung!$C$7/2)*100-Auswertung!$C$8),3)</f>
        <v>0</v>
      </c>
      <c r="H48">
        <f>ROUND(TAN(RADIANS(CSV_Import!E46))*((Auswertung!$C$7/2)*100-Auswertung!$C$8),3)</f>
        <v>0</v>
      </c>
      <c r="I48">
        <f>ROUND(TAN(RADIANS(CSV_Import!V46))*((Auswertung!$C$7/2)*100-Auswertung!$C$8),3)</f>
        <v>0</v>
      </c>
      <c r="K48">
        <f>(CSV_Import!$N$2-CSV_Import!N46)</f>
        <v>0</v>
      </c>
      <c r="L48">
        <f>(CSV_Import!$AE$2-CSV_Import!AE46)</f>
        <v>0</v>
      </c>
    </row>
    <row r="49" spans="2:12" x14ac:dyDescent="0.25">
      <c r="B49">
        <f>(CSV_Import!G47-CSV_Import!$G$2)/1000</f>
        <v>0</v>
      </c>
      <c r="D49">
        <f>ROUND(TAN(RADIANS(CSV_Import!D47))*((Auswertung!$C$7*100)/2-Auswertung!$C$8),3)</f>
        <v>0</v>
      </c>
      <c r="E49">
        <f>ROUND(TAN(RADIANS(CSV_Import!U47))*((Auswertung!$C$7/2)*100-Auswertung!$C$8),3)</f>
        <v>0</v>
      </c>
      <c r="F49">
        <f>ROUND(TAN(RADIANS(CSV_Import!B47))*((Auswertung!$C$7/2)*100-Auswertung!$C$8),3)</f>
        <v>0</v>
      </c>
      <c r="G49">
        <f>ROUND(TAN(RADIANS(CSV_Import!S47))*((Auswertung!$C$7/2)*100-Auswertung!$C$8),3)</f>
        <v>0</v>
      </c>
      <c r="H49">
        <f>ROUND(TAN(RADIANS(CSV_Import!E47))*((Auswertung!$C$7/2)*100-Auswertung!$C$8),3)</f>
        <v>0</v>
      </c>
      <c r="I49">
        <f>ROUND(TAN(RADIANS(CSV_Import!V47))*((Auswertung!$C$7/2)*100-Auswertung!$C$8),3)</f>
        <v>0</v>
      </c>
      <c r="K49">
        <f>(CSV_Import!$N$2-CSV_Import!N47)</f>
        <v>0</v>
      </c>
      <c r="L49">
        <f>(CSV_Import!$AE$2-CSV_Import!AE47)</f>
        <v>0</v>
      </c>
    </row>
    <row r="50" spans="2:12" x14ac:dyDescent="0.25">
      <c r="B50">
        <f>(CSV_Import!G48-CSV_Import!$G$2)/1000</f>
        <v>0</v>
      </c>
      <c r="D50">
        <f>ROUND(TAN(RADIANS(CSV_Import!D48))*((Auswertung!$C$7*100)/2-Auswertung!$C$8),3)</f>
        <v>0</v>
      </c>
      <c r="E50">
        <f>ROUND(TAN(RADIANS(CSV_Import!U48))*((Auswertung!$C$7/2)*100-Auswertung!$C$8),3)</f>
        <v>0</v>
      </c>
      <c r="F50">
        <f>ROUND(TAN(RADIANS(CSV_Import!B48))*((Auswertung!$C$7/2)*100-Auswertung!$C$8),3)</f>
        <v>0</v>
      </c>
      <c r="G50">
        <f>ROUND(TAN(RADIANS(CSV_Import!S48))*((Auswertung!$C$7/2)*100-Auswertung!$C$8),3)</f>
        <v>0</v>
      </c>
      <c r="H50">
        <f>ROUND(TAN(RADIANS(CSV_Import!E48))*((Auswertung!$C$7/2)*100-Auswertung!$C$8),3)</f>
        <v>0</v>
      </c>
      <c r="I50">
        <f>ROUND(TAN(RADIANS(CSV_Import!V48))*((Auswertung!$C$7/2)*100-Auswertung!$C$8),3)</f>
        <v>0</v>
      </c>
      <c r="K50">
        <f>(CSV_Import!$N$2-CSV_Import!N48)</f>
        <v>0</v>
      </c>
      <c r="L50">
        <f>(CSV_Import!$AE$2-CSV_Import!AE48)</f>
        <v>0</v>
      </c>
    </row>
    <row r="51" spans="2:12" x14ac:dyDescent="0.25">
      <c r="B51">
        <f>(CSV_Import!G49-CSV_Import!$G$2)/1000</f>
        <v>0</v>
      </c>
      <c r="D51">
        <f>ROUND(TAN(RADIANS(CSV_Import!D49))*((Auswertung!$C$7*100)/2-Auswertung!$C$8),3)</f>
        <v>0</v>
      </c>
      <c r="E51">
        <f>ROUND(TAN(RADIANS(CSV_Import!U49))*((Auswertung!$C$7/2)*100-Auswertung!$C$8),3)</f>
        <v>0</v>
      </c>
      <c r="F51">
        <f>ROUND(TAN(RADIANS(CSV_Import!B49))*((Auswertung!$C$7/2)*100-Auswertung!$C$8),3)</f>
        <v>0</v>
      </c>
      <c r="G51">
        <f>ROUND(TAN(RADIANS(CSV_Import!S49))*((Auswertung!$C$7/2)*100-Auswertung!$C$8),3)</f>
        <v>0</v>
      </c>
      <c r="H51">
        <f>ROUND(TAN(RADIANS(CSV_Import!E49))*((Auswertung!$C$7/2)*100-Auswertung!$C$8),3)</f>
        <v>0</v>
      </c>
      <c r="I51">
        <f>ROUND(TAN(RADIANS(CSV_Import!V49))*((Auswertung!$C$7/2)*100-Auswertung!$C$8),3)</f>
        <v>0</v>
      </c>
      <c r="K51">
        <f>(CSV_Import!$N$2-CSV_Import!N49)</f>
        <v>0</v>
      </c>
      <c r="L51">
        <f>(CSV_Import!$AE$2-CSV_Import!AE49)</f>
        <v>0</v>
      </c>
    </row>
    <row r="52" spans="2:12" x14ac:dyDescent="0.25">
      <c r="B52">
        <f>(CSV_Import!G50-CSV_Import!$G$2)/1000</f>
        <v>0</v>
      </c>
      <c r="D52">
        <f>ROUND(TAN(RADIANS(CSV_Import!D50))*((Auswertung!$C$7*100)/2-Auswertung!$C$8),3)</f>
        <v>0</v>
      </c>
      <c r="E52">
        <f>ROUND(TAN(RADIANS(CSV_Import!U50))*((Auswertung!$C$7/2)*100-Auswertung!$C$8),3)</f>
        <v>0</v>
      </c>
      <c r="F52">
        <f>ROUND(TAN(RADIANS(CSV_Import!B50))*((Auswertung!$C$7/2)*100-Auswertung!$C$8),3)</f>
        <v>0</v>
      </c>
      <c r="G52">
        <f>ROUND(TAN(RADIANS(CSV_Import!S50))*((Auswertung!$C$7/2)*100-Auswertung!$C$8),3)</f>
        <v>0</v>
      </c>
      <c r="H52">
        <f>ROUND(TAN(RADIANS(CSV_Import!E50))*((Auswertung!$C$7/2)*100-Auswertung!$C$8),3)</f>
        <v>0</v>
      </c>
      <c r="I52">
        <f>ROUND(TAN(RADIANS(CSV_Import!V50))*((Auswertung!$C$7/2)*100-Auswertung!$C$8),3)</f>
        <v>0</v>
      </c>
      <c r="K52">
        <f>(CSV_Import!$N$2-CSV_Import!N50)</f>
        <v>0</v>
      </c>
      <c r="L52">
        <f>(CSV_Import!$AE$2-CSV_Import!AE50)</f>
        <v>0</v>
      </c>
    </row>
    <row r="53" spans="2:12" x14ac:dyDescent="0.25">
      <c r="B53">
        <f>(CSV_Import!G51-CSV_Import!$G$2)/1000</f>
        <v>0</v>
      </c>
      <c r="D53">
        <f>ROUND(TAN(RADIANS(CSV_Import!D51))*((Auswertung!$C$7*100)/2-Auswertung!$C$8),3)</f>
        <v>0</v>
      </c>
      <c r="E53">
        <f>ROUND(TAN(RADIANS(CSV_Import!U51))*((Auswertung!$C$7/2)*100-Auswertung!$C$8),3)</f>
        <v>0</v>
      </c>
      <c r="F53">
        <f>ROUND(TAN(RADIANS(CSV_Import!B51))*((Auswertung!$C$7/2)*100-Auswertung!$C$8),3)</f>
        <v>0</v>
      </c>
      <c r="G53">
        <f>ROUND(TAN(RADIANS(CSV_Import!S51))*((Auswertung!$C$7/2)*100-Auswertung!$C$8),3)</f>
        <v>0</v>
      </c>
      <c r="H53">
        <f>ROUND(TAN(RADIANS(CSV_Import!E51))*((Auswertung!$C$7/2)*100-Auswertung!$C$8),3)</f>
        <v>0</v>
      </c>
      <c r="I53">
        <f>ROUND(TAN(RADIANS(CSV_Import!V51))*((Auswertung!$C$7/2)*100-Auswertung!$C$8),3)</f>
        <v>0</v>
      </c>
      <c r="K53">
        <f>(CSV_Import!$N$2-CSV_Import!N51)</f>
        <v>0</v>
      </c>
      <c r="L53">
        <f>(CSV_Import!$AE$2-CSV_Import!AE51)</f>
        <v>0</v>
      </c>
    </row>
    <row r="54" spans="2:12" x14ac:dyDescent="0.25">
      <c r="B54">
        <f>(CSV_Import!G52-CSV_Import!$G$2)/1000</f>
        <v>0</v>
      </c>
      <c r="D54">
        <f>ROUND(TAN(RADIANS(CSV_Import!D52))*((Auswertung!$C$7*100)/2-Auswertung!$C$8),3)</f>
        <v>0</v>
      </c>
      <c r="E54">
        <f>ROUND(TAN(RADIANS(CSV_Import!U52))*((Auswertung!$C$7/2)*100-Auswertung!$C$8),3)</f>
        <v>0</v>
      </c>
      <c r="F54">
        <f>ROUND(TAN(RADIANS(CSV_Import!B52))*((Auswertung!$C$7/2)*100-Auswertung!$C$8),3)</f>
        <v>0</v>
      </c>
      <c r="G54">
        <f>ROUND(TAN(RADIANS(CSV_Import!S52))*((Auswertung!$C$7/2)*100-Auswertung!$C$8),3)</f>
        <v>0</v>
      </c>
      <c r="H54">
        <f>ROUND(TAN(RADIANS(CSV_Import!E52))*((Auswertung!$C$7/2)*100-Auswertung!$C$8),3)</f>
        <v>0</v>
      </c>
      <c r="I54">
        <f>ROUND(TAN(RADIANS(CSV_Import!V52))*((Auswertung!$C$7/2)*100-Auswertung!$C$8),3)</f>
        <v>0</v>
      </c>
      <c r="K54">
        <f>(CSV_Import!$N$2-CSV_Import!N52)</f>
        <v>0</v>
      </c>
      <c r="L54">
        <f>(CSV_Import!$AE$2-CSV_Import!AE52)</f>
        <v>0</v>
      </c>
    </row>
    <row r="55" spans="2:12" x14ac:dyDescent="0.25">
      <c r="B55">
        <f>(CSV_Import!G53-CSV_Import!$G$2)/1000</f>
        <v>0</v>
      </c>
      <c r="D55">
        <f>ROUND(TAN(RADIANS(CSV_Import!D53))*((Auswertung!$C$7*100)/2-Auswertung!$C$8),3)</f>
        <v>0</v>
      </c>
      <c r="E55">
        <f>ROUND(TAN(RADIANS(CSV_Import!U53))*((Auswertung!$C$7/2)*100-Auswertung!$C$8),3)</f>
        <v>0</v>
      </c>
      <c r="F55">
        <f>ROUND(TAN(RADIANS(CSV_Import!B53))*((Auswertung!$C$7/2)*100-Auswertung!$C$8),3)</f>
        <v>0</v>
      </c>
      <c r="G55">
        <f>ROUND(TAN(RADIANS(CSV_Import!S53))*((Auswertung!$C$7/2)*100-Auswertung!$C$8),3)</f>
        <v>0</v>
      </c>
      <c r="H55">
        <f>ROUND(TAN(RADIANS(CSV_Import!E53))*((Auswertung!$C$7/2)*100-Auswertung!$C$8),3)</f>
        <v>0</v>
      </c>
      <c r="I55">
        <f>ROUND(TAN(RADIANS(CSV_Import!V53))*((Auswertung!$C$7/2)*100-Auswertung!$C$8),3)</f>
        <v>0</v>
      </c>
      <c r="K55">
        <f>(CSV_Import!$N$2-CSV_Import!N53)</f>
        <v>0</v>
      </c>
      <c r="L55">
        <f>(CSV_Import!$AE$2-CSV_Import!AE53)</f>
        <v>0</v>
      </c>
    </row>
    <row r="56" spans="2:12" x14ac:dyDescent="0.25">
      <c r="B56">
        <f>(CSV_Import!G54-CSV_Import!$G$2)/1000</f>
        <v>0</v>
      </c>
      <c r="D56">
        <f>ROUND(TAN(RADIANS(CSV_Import!D54))*((Auswertung!$C$7*100)/2-Auswertung!$C$8),3)</f>
        <v>0</v>
      </c>
      <c r="E56">
        <f>ROUND(TAN(RADIANS(CSV_Import!U54))*((Auswertung!$C$7/2)*100-Auswertung!$C$8),3)</f>
        <v>0</v>
      </c>
      <c r="F56">
        <f>ROUND(TAN(RADIANS(CSV_Import!B54))*((Auswertung!$C$7/2)*100-Auswertung!$C$8),3)</f>
        <v>0</v>
      </c>
      <c r="G56">
        <f>ROUND(TAN(RADIANS(CSV_Import!S54))*((Auswertung!$C$7/2)*100-Auswertung!$C$8),3)</f>
        <v>0</v>
      </c>
      <c r="H56">
        <f>ROUND(TAN(RADIANS(CSV_Import!E54))*((Auswertung!$C$7/2)*100-Auswertung!$C$8),3)</f>
        <v>0</v>
      </c>
      <c r="I56">
        <f>ROUND(TAN(RADIANS(CSV_Import!V54))*((Auswertung!$C$7/2)*100-Auswertung!$C$8),3)</f>
        <v>0</v>
      </c>
      <c r="K56">
        <f>(CSV_Import!$N$2-CSV_Import!N54)</f>
        <v>0</v>
      </c>
      <c r="L56">
        <f>(CSV_Import!$AE$2-CSV_Import!AE54)</f>
        <v>0</v>
      </c>
    </row>
    <row r="57" spans="2:12" x14ac:dyDescent="0.25">
      <c r="B57">
        <f>(CSV_Import!G55-CSV_Import!$G$2)/1000</f>
        <v>0</v>
      </c>
      <c r="D57">
        <f>ROUND(TAN(RADIANS(CSV_Import!D55))*((Auswertung!$C$7*100)/2-Auswertung!$C$8),3)</f>
        <v>0</v>
      </c>
      <c r="E57">
        <f>ROUND(TAN(RADIANS(CSV_Import!U55))*((Auswertung!$C$7/2)*100-Auswertung!$C$8),3)</f>
        <v>0</v>
      </c>
      <c r="F57">
        <f>ROUND(TAN(RADIANS(CSV_Import!B55))*((Auswertung!$C$7/2)*100-Auswertung!$C$8),3)</f>
        <v>0</v>
      </c>
      <c r="G57">
        <f>ROUND(TAN(RADIANS(CSV_Import!S55))*((Auswertung!$C$7/2)*100-Auswertung!$C$8),3)</f>
        <v>0</v>
      </c>
      <c r="H57">
        <f>ROUND(TAN(RADIANS(CSV_Import!E55))*((Auswertung!$C$7/2)*100-Auswertung!$C$8),3)</f>
        <v>0</v>
      </c>
      <c r="I57">
        <f>ROUND(TAN(RADIANS(CSV_Import!V55))*((Auswertung!$C$7/2)*100-Auswertung!$C$8),3)</f>
        <v>0</v>
      </c>
      <c r="K57">
        <f>(CSV_Import!$N$2-CSV_Import!N55)</f>
        <v>0</v>
      </c>
      <c r="L57">
        <f>(CSV_Import!$AE$2-CSV_Import!AE55)</f>
        <v>0</v>
      </c>
    </row>
    <row r="58" spans="2:12" x14ac:dyDescent="0.25">
      <c r="B58">
        <f>(CSV_Import!G56-CSV_Import!$G$2)/1000</f>
        <v>0</v>
      </c>
      <c r="D58">
        <f>ROUND(TAN(RADIANS(CSV_Import!D56))*((Auswertung!$C$7*100)/2-Auswertung!$C$8),3)</f>
        <v>0</v>
      </c>
      <c r="E58">
        <f>ROUND(TAN(RADIANS(CSV_Import!U56))*((Auswertung!$C$7/2)*100-Auswertung!$C$8),3)</f>
        <v>0</v>
      </c>
      <c r="F58">
        <f>ROUND(TAN(RADIANS(CSV_Import!B56))*((Auswertung!$C$7/2)*100-Auswertung!$C$8),3)</f>
        <v>0</v>
      </c>
      <c r="G58">
        <f>ROUND(TAN(RADIANS(CSV_Import!S56))*((Auswertung!$C$7/2)*100-Auswertung!$C$8),3)</f>
        <v>0</v>
      </c>
      <c r="H58">
        <f>ROUND(TAN(RADIANS(CSV_Import!E56))*((Auswertung!$C$7/2)*100-Auswertung!$C$8),3)</f>
        <v>0</v>
      </c>
      <c r="I58">
        <f>ROUND(TAN(RADIANS(CSV_Import!V56))*((Auswertung!$C$7/2)*100-Auswertung!$C$8),3)</f>
        <v>0</v>
      </c>
      <c r="K58">
        <f>(CSV_Import!$N$2-CSV_Import!N56)</f>
        <v>0</v>
      </c>
      <c r="L58">
        <f>(CSV_Import!$AE$2-CSV_Import!AE56)</f>
        <v>0</v>
      </c>
    </row>
    <row r="59" spans="2:12" x14ac:dyDescent="0.25">
      <c r="B59">
        <f>(CSV_Import!G57-CSV_Import!$G$2)/1000</f>
        <v>0</v>
      </c>
      <c r="D59">
        <f>ROUND(TAN(RADIANS(CSV_Import!D57))*((Auswertung!$C$7*100)/2-Auswertung!$C$8),3)</f>
        <v>0</v>
      </c>
      <c r="E59">
        <f>ROUND(TAN(RADIANS(CSV_Import!U57))*((Auswertung!$C$7/2)*100-Auswertung!$C$8),3)</f>
        <v>0</v>
      </c>
      <c r="F59">
        <f>ROUND(TAN(RADIANS(CSV_Import!B57))*((Auswertung!$C$7/2)*100-Auswertung!$C$8),3)</f>
        <v>0</v>
      </c>
      <c r="G59">
        <f>ROUND(TAN(RADIANS(CSV_Import!S57))*((Auswertung!$C$7/2)*100-Auswertung!$C$8),3)</f>
        <v>0</v>
      </c>
      <c r="H59">
        <f>ROUND(TAN(RADIANS(CSV_Import!E57))*((Auswertung!$C$7/2)*100-Auswertung!$C$8),3)</f>
        <v>0</v>
      </c>
      <c r="I59">
        <f>ROUND(TAN(RADIANS(CSV_Import!V57))*((Auswertung!$C$7/2)*100-Auswertung!$C$8),3)</f>
        <v>0</v>
      </c>
      <c r="K59">
        <f>(CSV_Import!$N$2-CSV_Import!N57)</f>
        <v>0</v>
      </c>
      <c r="L59">
        <f>(CSV_Import!$AE$2-CSV_Import!AE57)</f>
        <v>0</v>
      </c>
    </row>
    <row r="60" spans="2:12" x14ac:dyDescent="0.25">
      <c r="B60">
        <f>(CSV_Import!G58-CSV_Import!$G$2)/1000</f>
        <v>0</v>
      </c>
      <c r="D60">
        <f>ROUND(TAN(RADIANS(CSV_Import!D58))*((Auswertung!$C$7*100)/2-Auswertung!$C$8),3)</f>
        <v>0</v>
      </c>
      <c r="E60">
        <f>ROUND(TAN(RADIANS(CSV_Import!U58))*((Auswertung!$C$7/2)*100-Auswertung!$C$8),3)</f>
        <v>0</v>
      </c>
      <c r="F60">
        <f>ROUND(TAN(RADIANS(CSV_Import!B58))*((Auswertung!$C$7/2)*100-Auswertung!$C$8),3)</f>
        <v>0</v>
      </c>
      <c r="G60">
        <f>ROUND(TAN(RADIANS(CSV_Import!S58))*((Auswertung!$C$7/2)*100-Auswertung!$C$8),3)</f>
        <v>0</v>
      </c>
      <c r="H60">
        <f>ROUND(TAN(RADIANS(CSV_Import!E58))*((Auswertung!$C$7/2)*100-Auswertung!$C$8),3)</f>
        <v>0</v>
      </c>
      <c r="I60">
        <f>ROUND(TAN(RADIANS(CSV_Import!V58))*((Auswertung!$C$7/2)*100-Auswertung!$C$8),3)</f>
        <v>0</v>
      </c>
      <c r="K60">
        <f>(CSV_Import!$N$2-CSV_Import!N58)</f>
        <v>0</v>
      </c>
      <c r="L60">
        <f>(CSV_Import!$AE$2-CSV_Import!AE58)</f>
        <v>0</v>
      </c>
    </row>
    <row r="61" spans="2:12" x14ac:dyDescent="0.25">
      <c r="B61">
        <f>(CSV_Import!G59-CSV_Import!$G$2)/1000</f>
        <v>0</v>
      </c>
      <c r="D61">
        <f>ROUND(TAN(RADIANS(CSV_Import!D59))*((Auswertung!$C$7*100)/2-Auswertung!$C$8),3)</f>
        <v>0</v>
      </c>
      <c r="E61">
        <f>ROUND(TAN(RADIANS(CSV_Import!U59))*((Auswertung!$C$7/2)*100-Auswertung!$C$8),3)</f>
        <v>0</v>
      </c>
      <c r="F61">
        <f>ROUND(TAN(RADIANS(CSV_Import!B59))*((Auswertung!$C$7/2)*100-Auswertung!$C$8),3)</f>
        <v>0</v>
      </c>
      <c r="G61">
        <f>ROUND(TAN(RADIANS(CSV_Import!S59))*((Auswertung!$C$7/2)*100-Auswertung!$C$8),3)</f>
        <v>0</v>
      </c>
      <c r="H61">
        <f>ROUND(TAN(RADIANS(CSV_Import!E59))*((Auswertung!$C$7/2)*100-Auswertung!$C$8),3)</f>
        <v>0</v>
      </c>
      <c r="I61">
        <f>ROUND(TAN(RADIANS(CSV_Import!V59))*((Auswertung!$C$7/2)*100-Auswertung!$C$8),3)</f>
        <v>0</v>
      </c>
      <c r="K61">
        <f>(CSV_Import!$N$2-CSV_Import!N59)</f>
        <v>0</v>
      </c>
      <c r="L61">
        <f>(CSV_Import!$AE$2-CSV_Import!AE59)</f>
        <v>0</v>
      </c>
    </row>
    <row r="62" spans="2:12" x14ac:dyDescent="0.25">
      <c r="B62">
        <f>(CSV_Import!G60-CSV_Import!$G$2)/1000</f>
        <v>0</v>
      </c>
      <c r="D62">
        <f>ROUND(TAN(RADIANS(CSV_Import!D60))*((Auswertung!$C$7*100)/2-Auswertung!$C$8),3)</f>
        <v>0</v>
      </c>
      <c r="E62">
        <f>ROUND(TAN(RADIANS(CSV_Import!U60))*((Auswertung!$C$7/2)*100-Auswertung!$C$8),3)</f>
        <v>0</v>
      </c>
      <c r="F62">
        <f>ROUND(TAN(RADIANS(CSV_Import!B60))*((Auswertung!$C$7/2)*100-Auswertung!$C$8),3)</f>
        <v>0</v>
      </c>
      <c r="G62">
        <f>ROUND(TAN(RADIANS(CSV_Import!S60))*((Auswertung!$C$7/2)*100-Auswertung!$C$8),3)</f>
        <v>0</v>
      </c>
      <c r="H62">
        <f>ROUND(TAN(RADIANS(CSV_Import!E60))*((Auswertung!$C$7/2)*100-Auswertung!$C$8),3)</f>
        <v>0</v>
      </c>
      <c r="I62">
        <f>ROUND(TAN(RADIANS(CSV_Import!V60))*((Auswertung!$C$7/2)*100-Auswertung!$C$8),3)</f>
        <v>0</v>
      </c>
      <c r="K62">
        <f>(CSV_Import!$N$2-CSV_Import!N60)</f>
        <v>0</v>
      </c>
      <c r="L62">
        <f>(CSV_Import!$AE$2-CSV_Import!AE60)</f>
        <v>0</v>
      </c>
    </row>
    <row r="63" spans="2:12" x14ac:dyDescent="0.25">
      <c r="B63">
        <f>(CSV_Import!G61-CSV_Import!$G$2)/1000</f>
        <v>0</v>
      </c>
      <c r="D63">
        <f>ROUND(TAN(RADIANS(CSV_Import!D61))*((Auswertung!$C$7*100)/2-Auswertung!$C$8),3)</f>
        <v>0</v>
      </c>
      <c r="E63">
        <f>ROUND(TAN(RADIANS(CSV_Import!U61))*((Auswertung!$C$7/2)*100-Auswertung!$C$8),3)</f>
        <v>0</v>
      </c>
      <c r="F63">
        <f>ROUND(TAN(RADIANS(CSV_Import!B61))*((Auswertung!$C$7/2)*100-Auswertung!$C$8),3)</f>
        <v>0</v>
      </c>
      <c r="G63">
        <f>ROUND(TAN(RADIANS(CSV_Import!S61))*((Auswertung!$C$7/2)*100-Auswertung!$C$8),3)</f>
        <v>0</v>
      </c>
      <c r="H63">
        <f>ROUND(TAN(RADIANS(CSV_Import!E61))*((Auswertung!$C$7/2)*100-Auswertung!$C$8),3)</f>
        <v>0</v>
      </c>
      <c r="I63">
        <f>ROUND(TAN(RADIANS(CSV_Import!V61))*((Auswertung!$C$7/2)*100-Auswertung!$C$8),3)</f>
        <v>0</v>
      </c>
      <c r="K63">
        <f>(CSV_Import!$N$2-CSV_Import!N61)</f>
        <v>0</v>
      </c>
      <c r="L63">
        <f>(CSV_Import!$AE$2-CSV_Import!AE61)</f>
        <v>0</v>
      </c>
    </row>
    <row r="64" spans="2:12" x14ac:dyDescent="0.25">
      <c r="B64">
        <f>(CSV_Import!G62-CSV_Import!$G$2)/1000</f>
        <v>0</v>
      </c>
      <c r="D64">
        <f>ROUND(TAN(RADIANS(CSV_Import!D62))*((Auswertung!$C$7*100)/2-Auswertung!$C$8),3)</f>
        <v>0</v>
      </c>
      <c r="E64">
        <f>ROUND(TAN(RADIANS(CSV_Import!U62))*((Auswertung!$C$7/2)*100-Auswertung!$C$8),3)</f>
        <v>0</v>
      </c>
      <c r="F64">
        <f>ROUND(TAN(RADIANS(CSV_Import!B62))*((Auswertung!$C$7/2)*100-Auswertung!$C$8),3)</f>
        <v>0</v>
      </c>
      <c r="G64">
        <f>ROUND(TAN(RADIANS(CSV_Import!S62))*((Auswertung!$C$7/2)*100-Auswertung!$C$8),3)</f>
        <v>0</v>
      </c>
      <c r="H64">
        <f>ROUND(TAN(RADIANS(CSV_Import!E62))*((Auswertung!$C$7/2)*100-Auswertung!$C$8),3)</f>
        <v>0</v>
      </c>
      <c r="I64">
        <f>ROUND(TAN(RADIANS(CSV_Import!V62))*((Auswertung!$C$7/2)*100-Auswertung!$C$8),3)</f>
        <v>0</v>
      </c>
      <c r="K64">
        <f>(CSV_Import!$N$2-CSV_Import!N62)</f>
        <v>0</v>
      </c>
      <c r="L64">
        <f>(CSV_Import!$AE$2-CSV_Import!AE62)</f>
        <v>0</v>
      </c>
    </row>
    <row r="65" spans="2:12" x14ac:dyDescent="0.25">
      <c r="B65">
        <f>(CSV_Import!G63-CSV_Import!$G$2)/1000</f>
        <v>0</v>
      </c>
      <c r="D65">
        <f>ROUND(TAN(RADIANS(CSV_Import!D63))*((Auswertung!$C$7*100)/2-Auswertung!$C$8),3)</f>
        <v>0</v>
      </c>
      <c r="E65">
        <f>ROUND(TAN(RADIANS(CSV_Import!U63))*((Auswertung!$C$7/2)*100-Auswertung!$C$8),3)</f>
        <v>0</v>
      </c>
      <c r="F65">
        <f>ROUND(TAN(RADIANS(CSV_Import!B63))*((Auswertung!$C$7/2)*100-Auswertung!$C$8),3)</f>
        <v>0</v>
      </c>
      <c r="G65">
        <f>ROUND(TAN(RADIANS(CSV_Import!S63))*((Auswertung!$C$7/2)*100-Auswertung!$C$8),3)</f>
        <v>0</v>
      </c>
      <c r="H65">
        <f>ROUND(TAN(RADIANS(CSV_Import!E63))*((Auswertung!$C$7/2)*100-Auswertung!$C$8),3)</f>
        <v>0</v>
      </c>
      <c r="I65">
        <f>ROUND(TAN(RADIANS(CSV_Import!V63))*((Auswertung!$C$7/2)*100-Auswertung!$C$8),3)</f>
        <v>0</v>
      </c>
      <c r="K65">
        <f>(CSV_Import!$N$2-CSV_Import!N63)</f>
        <v>0</v>
      </c>
      <c r="L65">
        <f>(CSV_Import!$AE$2-CSV_Import!AE63)</f>
        <v>0</v>
      </c>
    </row>
    <row r="66" spans="2:12" x14ac:dyDescent="0.25">
      <c r="B66">
        <f>(CSV_Import!G64-CSV_Import!$G$2)/1000</f>
        <v>0</v>
      </c>
      <c r="D66">
        <f>ROUND(TAN(RADIANS(CSV_Import!D64))*((Auswertung!$C$7*100)/2-Auswertung!$C$8),3)</f>
        <v>0</v>
      </c>
      <c r="E66">
        <f>ROUND(TAN(RADIANS(CSV_Import!U64))*((Auswertung!$C$7/2)*100-Auswertung!$C$8),3)</f>
        <v>0</v>
      </c>
      <c r="F66">
        <f>ROUND(TAN(RADIANS(CSV_Import!B64))*((Auswertung!$C$7/2)*100-Auswertung!$C$8),3)</f>
        <v>0</v>
      </c>
      <c r="G66">
        <f>ROUND(TAN(RADIANS(CSV_Import!S64))*((Auswertung!$C$7/2)*100-Auswertung!$C$8),3)</f>
        <v>0</v>
      </c>
      <c r="H66">
        <f>ROUND(TAN(RADIANS(CSV_Import!E64))*((Auswertung!$C$7/2)*100-Auswertung!$C$8),3)</f>
        <v>0</v>
      </c>
      <c r="I66">
        <f>ROUND(TAN(RADIANS(CSV_Import!V64))*((Auswertung!$C$7/2)*100-Auswertung!$C$8),3)</f>
        <v>0</v>
      </c>
      <c r="K66">
        <f>(CSV_Import!$N$2-CSV_Import!N64)</f>
        <v>0</v>
      </c>
      <c r="L66">
        <f>(CSV_Import!$AE$2-CSV_Import!AE64)</f>
        <v>0</v>
      </c>
    </row>
    <row r="67" spans="2:12" x14ac:dyDescent="0.25">
      <c r="B67">
        <f>(CSV_Import!G65-CSV_Import!$G$2)/1000</f>
        <v>0</v>
      </c>
      <c r="D67">
        <f>ROUND(TAN(RADIANS(CSV_Import!D65))*((Auswertung!$C$7*100)/2-Auswertung!$C$8),3)</f>
        <v>0</v>
      </c>
      <c r="E67">
        <f>ROUND(TAN(RADIANS(CSV_Import!U65))*((Auswertung!$C$7/2)*100-Auswertung!$C$8),3)</f>
        <v>0</v>
      </c>
      <c r="F67">
        <f>ROUND(TAN(RADIANS(CSV_Import!B65))*((Auswertung!$C$7/2)*100-Auswertung!$C$8),3)</f>
        <v>0</v>
      </c>
      <c r="G67">
        <f>ROUND(TAN(RADIANS(CSV_Import!S65))*((Auswertung!$C$7/2)*100-Auswertung!$C$8),3)</f>
        <v>0</v>
      </c>
      <c r="H67">
        <f>ROUND(TAN(RADIANS(CSV_Import!E65))*((Auswertung!$C$7/2)*100-Auswertung!$C$8),3)</f>
        <v>0</v>
      </c>
      <c r="I67">
        <f>ROUND(TAN(RADIANS(CSV_Import!V65))*((Auswertung!$C$7/2)*100-Auswertung!$C$8),3)</f>
        <v>0</v>
      </c>
      <c r="K67">
        <f>(CSV_Import!$N$2-CSV_Import!N65)</f>
        <v>0</v>
      </c>
      <c r="L67">
        <f>(CSV_Import!$AE$2-CSV_Import!AE65)</f>
        <v>0</v>
      </c>
    </row>
    <row r="68" spans="2:12" x14ac:dyDescent="0.25">
      <c r="B68">
        <f>(CSV_Import!G66-CSV_Import!$G$2)/1000</f>
        <v>0</v>
      </c>
      <c r="D68">
        <f>ROUND(TAN(RADIANS(CSV_Import!D66))*((Auswertung!$C$7*100)/2-Auswertung!$C$8),3)</f>
        <v>0</v>
      </c>
      <c r="E68">
        <f>ROUND(TAN(RADIANS(CSV_Import!U66))*((Auswertung!$C$7/2)*100-Auswertung!$C$8),3)</f>
        <v>0</v>
      </c>
      <c r="F68">
        <f>ROUND(TAN(RADIANS(CSV_Import!B66))*((Auswertung!$C$7/2)*100-Auswertung!$C$8),3)</f>
        <v>0</v>
      </c>
      <c r="G68">
        <f>ROUND(TAN(RADIANS(CSV_Import!S66))*((Auswertung!$C$7/2)*100-Auswertung!$C$8),3)</f>
        <v>0</v>
      </c>
      <c r="H68">
        <f>ROUND(TAN(RADIANS(CSV_Import!E66))*((Auswertung!$C$7/2)*100-Auswertung!$C$8),3)</f>
        <v>0</v>
      </c>
      <c r="I68">
        <f>ROUND(TAN(RADIANS(CSV_Import!V66))*((Auswertung!$C$7/2)*100-Auswertung!$C$8),3)</f>
        <v>0</v>
      </c>
      <c r="K68">
        <f>(CSV_Import!$N$2-CSV_Import!N66)</f>
        <v>0</v>
      </c>
      <c r="L68">
        <f>(CSV_Import!$AE$2-CSV_Import!AE66)</f>
        <v>0</v>
      </c>
    </row>
    <row r="69" spans="2:12" x14ac:dyDescent="0.25">
      <c r="B69">
        <f>(CSV_Import!G67-CSV_Import!$G$2)/1000</f>
        <v>0</v>
      </c>
      <c r="D69">
        <f>ROUND(TAN(RADIANS(CSV_Import!D67))*((Auswertung!$C$7*100)/2-Auswertung!$C$8),3)</f>
        <v>0</v>
      </c>
      <c r="E69">
        <f>ROUND(TAN(RADIANS(CSV_Import!U67))*((Auswertung!$C$7/2)*100-Auswertung!$C$8),3)</f>
        <v>0</v>
      </c>
      <c r="F69">
        <f>ROUND(TAN(RADIANS(CSV_Import!B67))*((Auswertung!$C$7/2)*100-Auswertung!$C$8),3)</f>
        <v>0</v>
      </c>
      <c r="G69">
        <f>ROUND(TAN(RADIANS(CSV_Import!S67))*((Auswertung!$C$7/2)*100-Auswertung!$C$8),3)</f>
        <v>0</v>
      </c>
      <c r="H69">
        <f>ROUND(TAN(RADIANS(CSV_Import!E67))*((Auswertung!$C$7/2)*100-Auswertung!$C$8),3)</f>
        <v>0</v>
      </c>
      <c r="I69">
        <f>ROUND(TAN(RADIANS(CSV_Import!V67))*((Auswertung!$C$7/2)*100-Auswertung!$C$8),3)</f>
        <v>0</v>
      </c>
      <c r="K69">
        <f>(CSV_Import!$N$2-CSV_Import!N67)</f>
        <v>0</v>
      </c>
      <c r="L69">
        <f>(CSV_Import!$AE$2-CSV_Import!AE67)</f>
        <v>0</v>
      </c>
    </row>
    <row r="70" spans="2:12" x14ac:dyDescent="0.25">
      <c r="B70">
        <f>(CSV_Import!G68-CSV_Import!$G$2)/1000</f>
        <v>0</v>
      </c>
      <c r="D70">
        <f>ROUND(TAN(RADIANS(CSV_Import!D68))*((Auswertung!$C$7*100)/2-Auswertung!$C$8),3)</f>
        <v>0</v>
      </c>
      <c r="E70">
        <f>ROUND(TAN(RADIANS(CSV_Import!U68))*((Auswertung!$C$7/2)*100-Auswertung!$C$8),3)</f>
        <v>0</v>
      </c>
      <c r="F70">
        <f>ROUND(TAN(RADIANS(CSV_Import!B68))*((Auswertung!$C$7/2)*100-Auswertung!$C$8),3)</f>
        <v>0</v>
      </c>
      <c r="G70">
        <f>ROUND(TAN(RADIANS(CSV_Import!S68))*((Auswertung!$C$7/2)*100-Auswertung!$C$8),3)</f>
        <v>0</v>
      </c>
      <c r="H70">
        <f>ROUND(TAN(RADIANS(CSV_Import!E68))*((Auswertung!$C$7/2)*100-Auswertung!$C$8),3)</f>
        <v>0</v>
      </c>
      <c r="I70">
        <f>ROUND(TAN(RADIANS(CSV_Import!V68))*((Auswertung!$C$7/2)*100-Auswertung!$C$8),3)</f>
        <v>0</v>
      </c>
      <c r="K70">
        <f>(CSV_Import!$N$2-CSV_Import!N68)</f>
        <v>0</v>
      </c>
      <c r="L70">
        <f>(CSV_Import!$AE$2-CSV_Import!AE68)</f>
        <v>0</v>
      </c>
    </row>
    <row r="71" spans="2:12" x14ac:dyDescent="0.25">
      <c r="B71">
        <f>(CSV_Import!G69-CSV_Import!$G$2)/1000</f>
        <v>0</v>
      </c>
      <c r="D71">
        <f>ROUND(TAN(RADIANS(CSV_Import!D69))*((Auswertung!$C$7*100)/2-Auswertung!$C$8),3)</f>
        <v>0</v>
      </c>
      <c r="E71">
        <f>ROUND(TAN(RADIANS(CSV_Import!U69))*((Auswertung!$C$7/2)*100-Auswertung!$C$8),3)</f>
        <v>0</v>
      </c>
      <c r="F71">
        <f>ROUND(TAN(RADIANS(CSV_Import!B69))*((Auswertung!$C$7/2)*100-Auswertung!$C$8),3)</f>
        <v>0</v>
      </c>
      <c r="G71">
        <f>ROUND(TAN(RADIANS(CSV_Import!S69))*((Auswertung!$C$7/2)*100-Auswertung!$C$8),3)</f>
        <v>0</v>
      </c>
      <c r="H71">
        <f>ROUND(TAN(RADIANS(CSV_Import!E69))*((Auswertung!$C$7/2)*100-Auswertung!$C$8),3)</f>
        <v>0</v>
      </c>
      <c r="I71">
        <f>ROUND(TAN(RADIANS(CSV_Import!V69))*((Auswertung!$C$7/2)*100-Auswertung!$C$8),3)</f>
        <v>0</v>
      </c>
      <c r="K71">
        <f>(CSV_Import!$N$2-CSV_Import!N69)</f>
        <v>0</v>
      </c>
      <c r="L71">
        <f>(CSV_Import!$AE$2-CSV_Import!AE69)</f>
        <v>0</v>
      </c>
    </row>
    <row r="72" spans="2:12" x14ac:dyDescent="0.25">
      <c r="B72">
        <f>(CSV_Import!G70-CSV_Import!$G$2)/1000</f>
        <v>0</v>
      </c>
      <c r="D72">
        <f>ROUND(TAN(RADIANS(CSV_Import!D70))*((Auswertung!$C$7*100)/2-Auswertung!$C$8),3)</f>
        <v>0</v>
      </c>
      <c r="E72">
        <f>ROUND(TAN(RADIANS(CSV_Import!U70))*((Auswertung!$C$7/2)*100-Auswertung!$C$8),3)</f>
        <v>0</v>
      </c>
      <c r="F72">
        <f>ROUND(TAN(RADIANS(CSV_Import!B70))*((Auswertung!$C$7/2)*100-Auswertung!$C$8),3)</f>
        <v>0</v>
      </c>
      <c r="G72">
        <f>ROUND(TAN(RADIANS(CSV_Import!S70))*((Auswertung!$C$7/2)*100-Auswertung!$C$8),3)</f>
        <v>0</v>
      </c>
      <c r="H72">
        <f>ROUND(TAN(RADIANS(CSV_Import!E70))*((Auswertung!$C$7/2)*100-Auswertung!$C$8),3)</f>
        <v>0</v>
      </c>
      <c r="I72">
        <f>ROUND(TAN(RADIANS(CSV_Import!V70))*((Auswertung!$C$7/2)*100-Auswertung!$C$8),3)</f>
        <v>0</v>
      </c>
      <c r="K72">
        <f>(CSV_Import!$N$2-CSV_Import!N70)</f>
        <v>0</v>
      </c>
      <c r="L72">
        <f>(CSV_Import!$AE$2-CSV_Import!AE70)</f>
        <v>0</v>
      </c>
    </row>
    <row r="73" spans="2:12" x14ac:dyDescent="0.25">
      <c r="B73">
        <f>(CSV_Import!G71-CSV_Import!$G$2)/1000</f>
        <v>0</v>
      </c>
      <c r="D73">
        <f>ROUND(TAN(RADIANS(CSV_Import!D71))*((Auswertung!$C$7*100)/2-Auswertung!$C$8),3)</f>
        <v>0</v>
      </c>
      <c r="E73">
        <f>ROUND(TAN(RADIANS(CSV_Import!U71))*((Auswertung!$C$7/2)*100-Auswertung!$C$8),3)</f>
        <v>0</v>
      </c>
      <c r="F73">
        <f>ROUND(TAN(RADIANS(CSV_Import!B71))*((Auswertung!$C$7/2)*100-Auswertung!$C$8),3)</f>
        <v>0</v>
      </c>
      <c r="G73">
        <f>ROUND(TAN(RADIANS(CSV_Import!S71))*((Auswertung!$C$7/2)*100-Auswertung!$C$8),3)</f>
        <v>0</v>
      </c>
      <c r="H73">
        <f>ROUND(TAN(RADIANS(CSV_Import!E71))*((Auswertung!$C$7/2)*100-Auswertung!$C$8),3)</f>
        <v>0</v>
      </c>
      <c r="I73">
        <f>ROUND(TAN(RADIANS(CSV_Import!V71))*((Auswertung!$C$7/2)*100-Auswertung!$C$8),3)</f>
        <v>0</v>
      </c>
      <c r="K73">
        <f>(CSV_Import!$N$2-CSV_Import!N71)</f>
        <v>0</v>
      </c>
      <c r="L73">
        <f>(CSV_Import!$AE$2-CSV_Import!AE71)</f>
        <v>0</v>
      </c>
    </row>
    <row r="74" spans="2:12" x14ac:dyDescent="0.25">
      <c r="B74">
        <f>(CSV_Import!G72-CSV_Import!$G$2)/1000</f>
        <v>0</v>
      </c>
      <c r="D74">
        <f>ROUND(TAN(RADIANS(CSV_Import!D72))*((Auswertung!$C$7*100)/2-Auswertung!$C$8),3)</f>
        <v>0</v>
      </c>
      <c r="E74">
        <f>ROUND(TAN(RADIANS(CSV_Import!U72))*((Auswertung!$C$7/2)*100-Auswertung!$C$8),3)</f>
        <v>0</v>
      </c>
      <c r="F74">
        <f>ROUND(TAN(RADIANS(CSV_Import!B72))*((Auswertung!$C$7/2)*100-Auswertung!$C$8),3)</f>
        <v>0</v>
      </c>
      <c r="G74">
        <f>ROUND(TAN(RADIANS(CSV_Import!S72))*((Auswertung!$C$7/2)*100-Auswertung!$C$8),3)</f>
        <v>0</v>
      </c>
      <c r="H74">
        <f>ROUND(TAN(RADIANS(CSV_Import!E72))*((Auswertung!$C$7/2)*100-Auswertung!$C$8),3)</f>
        <v>0</v>
      </c>
      <c r="I74">
        <f>ROUND(TAN(RADIANS(CSV_Import!V72))*((Auswertung!$C$7/2)*100-Auswertung!$C$8),3)</f>
        <v>0</v>
      </c>
      <c r="K74">
        <f>(CSV_Import!$N$2-CSV_Import!N72)</f>
        <v>0</v>
      </c>
      <c r="L74">
        <f>(CSV_Import!$AE$2-CSV_Import!AE72)</f>
        <v>0</v>
      </c>
    </row>
    <row r="75" spans="2:12" x14ac:dyDescent="0.25">
      <c r="B75">
        <f>(CSV_Import!G73-CSV_Import!$G$2)/1000</f>
        <v>0</v>
      </c>
      <c r="D75">
        <f>ROUND(TAN(RADIANS(CSV_Import!D73))*((Auswertung!$C$7*100)/2-Auswertung!$C$8),3)</f>
        <v>0</v>
      </c>
      <c r="E75">
        <f>ROUND(TAN(RADIANS(CSV_Import!U73))*((Auswertung!$C$7/2)*100-Auswertung!$C$8),3)</f>
        <v>0</v>
      </c>
      <c r="F75">
        <f>ROUND(TAN(RADIANS(CSV_Import!B73))*((Auswertung!$C$7/2)*100-Auswertung!$C$8),3)</f>
        <v>0</v>
      </c>
      <c r="G75">
        <f>ROUND(TAN(RADIANS(CSV_Import!S73))*((Auswertung!$C$7/2)*100-Auswertung!$C$8),3)</f>
        <v>0</v>
      </c>
      <c r="H75">
        <f>ROUND(TAN(RADIANS(CSV_Import!E73))*((Auswertung!$C$7/2)*100-Auswertung!$C$8),3)</f>
        <v>0</v>
      </c>
      <c r="I75">
        <f>ROUND(TAN(RADIANS(CSV_Import!V73))*((Auswertung!$C$7/2)*100-Auswertung!$C$8),3)</f>
        <v>0</v>
      </c>
      <c r="K75">
        <f>(CSV_Import!$N$2-CSV_Import!N73)</f>
        <v>0</v>
      </c>
      <c r="L75">
        <f>(CSV_Import!$AE$2-CSV_Import!AE73)</f>
        <v>0</v>
      </c>
    </row>
    <row r="76" spans="2:12" x14ac:dyDescent="0.25">
      <c r="B76">
        <f>(CSV_Import!G74-CSV_Import!$G$2)/1000</f>
        <v>0</v>
      </c>
      <c r="D76">
        <f>ROUND(TAN(RADIANS(CSV_Import!D74))*((Auswertung!$C$7*100)/2-Auswertung!$C$8),3)</f>
        <v>0</v>
      </c>
      <c r="E76">
        <f>ROUND(TAN(RADIANS(CSV_Import!U74))*((Auswertung!$C$7/2)*100-Auswertung!$C$8),3)</f>
        <v>0</v>
      </c>
      <c r="F76">
        <f>ROUND(TAN(RADIANS(CSV_Import!B74))*((Auswertung!$C$7/2)*100-Auswertung!$C$8),3)</f>
        <v>0</v>
      </c>
      <c r="G76">
        <f>ROUND(TAN(RADIANS(CSV_Import!S74))*((Auswertung!$C$7/2)*100-Auswertung!$C$8),3)</f>
        <v>0</v>
      </c>
      <c r="H76">
        <f>ROUND(TAN(RADIANS(CSV_Import!E74))*((Auswertung!$C$7/2)*100-Auswertung!$C$8),3)</f>
        <v>0</v>
      </c>
      <c r="I76">
        <f>ROUND(TAN(RADIANS(CSV_Import!V74))*((Auswertung!$C$7/2)*100-Auswertung!$C$8),3)</f>
        <v>0</v>
      </c>
      <c r="K76">
        <f>(CSV_Import!$N$2-CSV_Import!N74)</f>
        <v>0</v>
      </c>
      <c r="L76">
        <f>(CSV_Import!$AE$2-CSV_Import!AE74)</f>
        <v>0</v>
      </c>
    </row>
    <row r="77" spans="2:12" x14ac:dyDescent="0.25">
      <c r="B77">
        <f>(CSV_Import!G75-CSV_Import!$G$2)/1000</f>
        <v>0</v>
      </c>
      <c r="D77">
        <f>ROUND(TAN(RADIANS(CSV_Import!D75))*((Auswertung!$C$7*100)/2-Auswertung!$C$8),3)</f>
        <v>0</v>
      </c>
      <c r="E77">
        <f>ROUND(TAN(RADIANS(CSV_Import!U75))*((Auswertung!$C$7/2)*100-Auswertung!$C$8),3)</f>
        <v>0</v>
      </c>
      <c r="F77">
        <f>ROUND(TAN(RADIANS(CSV_Import!B75))*((Auswertung!$C$7/2)*100-Auswertung!$C$8),3)</f>
        <v>0</v>
      </c>
      <c r="G77">
        <f>ROUND(TAN(RADIANS(CSV_Import!S75))*((Auswertung!$C$7/2)*100-Auswertung!$C$8),3)</f>
        <v>0</v>
      </c>
      <c r="H77">
        <f>ROUND(TAN(RADIANS(CSV_Import!E75))*((Auswertung!$C$7/2)*100-Auswertung!$C$8),3)</f>
        <v>0</v>
      </c>
      <c r="I77">
        <f>ROUND(TAN(RADIANS(CSV_Import!V75))*((Auswertung!$C$7/2)*100-Auswertung!$C$8),3)</f>
        <v>0</v>
      </c>
      <c r="K77">
        <f>(CSV_Import!$N$2-CSV_Import!N75)</f>
        <v>0</v>
      </c>
      <c r="L77">
        <f>(CSV_Import!$AE$2-CSV_Import!AE75)</f>
        <v>0</v>
      </c>
    </row>
    <row r="78" spans="2:12" x14ac:dyDescent="0.25">
      <c r="B78">
        <f>(CSV_Import!G76-CSV_Import!$G$2)/1000</f>
        <v>0</v>
      </c>
      <c r="D78">
        <f>ROUND(TAN(RADIANS(CSV_Import!D76))*((Auswertung!$C$7*100)/2-Auswertung!$C$8),3)</f>
        <v>0</v>
      </c>
      <c r="E78">
        <f>ROUND(TAN(RADIANS(CSV_Import!U76))*((Auswertung!$C$7/2)*100-Auswertung!$C$8),3)</f>
        <v>0</v>
      </c>
      <c r="F78">
        <f>ROUND(TAN(RADIANS(CSV_Import!B76))*((Auswertung!$C$7/2)*100-Auswertung!$C$8),3)</f>
        <v>0</v>
      </c>
      <c r="G78">
        <f>ROUND(TAN(RADIANS(CSV_Import!S76))*((Auswertung!$C$7/2)*100-Auswertung!$C$8),3)</f>
        <v>0</v>
      </c>
      <c r="H78">
        <f>ROUND(TAN(RADIANS(CSV_Import!E76))*((Auswertung!$C$7/2)*100-Auswertung!$C$8),3)</f>
        <v>0</v>
      </c>
      <c r="I78">
        <f>ROUND(TAN(RADIANS(CSV_Import!V76))*((Auswertung!$C$7/2)*100-Auswertung!$C$8),3)</f>
        <v>0</v>
      </c>
      <c r="K78">
        <f>(CSV_Import!$N$2-CSV_Import!N76)</f>
        <v>0</v>
      </c>
      <c r="L78">
        <f>(CSV_Import!$AE$2-CSV_Import!AE76)</f>
        <v>0</v>
      </c>
    </row>
    <row r="79" spans="2:12" x14ac:dyDescent="0.25">
      <c r="B79">
        <f>(CSV_Import!G77-CSV_Import!$G$2)/1000</f>
        <v>0</v>
      </c>
      <c r="D79">
        <f>ROUND(TAN(RADIANS(CSV_Import!D77))*((Auswertung!$C$7*100)/2-Auswertung!$C$8),3)</f>
        <v>0</v>
      </c>
      <c r="E79">
        <f>ROUND(TAN(RADIANS(CSV_Import!U77))*((Auswertung!$C$7/2)*100-Auswertung!$C$8),3)</f>
        <v>0</v>
      </c>
      <c r="F79">
        <f>ROUND(TAN(RADIANS(CSV_Import!B77))*((Auswertung!$C$7/2)*100-Auswertung!$C$8),3)</f>
        <v>0</v>
      </c>
      <c r="G79">
        <f>ROUND(TAN(RADIANS(CSV_Import!S77))*((Auswertung!$C$7/2)*100-Auswertung!$C$8),3)</f>
        <v>0</v>
      </c>
      <c r="H79">
        <f>ROUND(TAN(RADIANS(CSV_Import!E77))*((Auswertung!$C$7/2)*100-Auswertung!$C$8),3)</f>
        <v>0</v>
      </c>
      <c r="I79">
        <f>ROUND(TAN(RADIANS(CSV_Import!V77))*((Auswertung!$C$7/2)*100-Auswertung!$C$8),3)</f>
        <v>0</v>
      </c>
      <c r="K79">
        <f>(CSV_Import!$N$2-CSV_Import!N77)</f>
        <v>0</v>
      </c>
      <c r="L79">
        <f>(CSV_Import!$AE$2-CSV_Import!AE77)</f>
        <v>0</v>
      </c>
    </row>
    <row r="80" spans="2:12" x14ac:dyDescent="0.25">
      <c r="B80">
        <f>(CSV_Import!G78-CSV_Import!$G$2)/1000</f>
        <v>0</v>
      </c>
      <c r="D80">
        <f>ROUND(TAN(RADIANS(CSV_Import!D78))*((Auswertung!$C$7*100)/2-Auswertung!$C$8),3)</f>
        <v>0</v>
      </c>
      <c r="E80">
        <f>ROUND(TAN(RADIANS(CSV_Import!U78))*((Auswertung!$C$7/2)*100-Auswertung!$C$8),3)</f>
        <v>0</v>
      </c>
      <c r="F80">
        <f>ROUND(TAN(RADIANS(CSV_Import!B78))*((Auswertung!$C$7/2)*100-Auswertung!$C$8),3)</f>
        <v>0</v>
      </c>
      <c r="G80">
        <f>ROUND(TAN(RADIANS(CSV_Import!S78))*((Auswertung!$C$7/2)*100-Auswertung!$C$8),3)</f>
        <v>0</v>
      </c>
      <c r="H80">
        <f>ROUND(TAN(RADIANS(CSV_Import!E78))*((Auswertung!$C$7/2)*100-Auswertung!$C$8),3)</f>
        <v>0</v>
      </c>
      <c r="I80">
        <f>ROUND(TAN(RADIANS(CSV_Import!V78))*((Auswertung!$C$7/2)*100-Auswertung!$C$8),3)</f>
        <v>0</v>
      </c>
      <c r="K80">
        <f>(CSV_Import!$N$2-CSV_Import!N78)</f>
        <v>0</v>
      </c>
      <c r="L80">
        <f>(CSV_Import!$AE$2-CSV_Import!AE78)</f>
        <v>0</v>
      </c>
    </row>
    <row r="81" spans="2:12" x14ac:dyDescent="0.25">
      <c r="B81">
        <f>(CSV_Import!G79-CSV_Import!$G$2)/1000</f>
        <v>0</v>
      </c>
      <c r="D81">
        <f>ROUND(TAN(RADIANS(CSV_Import!D79))*((Auswertung!$C$7*100)/2-Auswertung!$C$8),3)</f>
        <v>0</v>
      </c>
      <c r="E81">
        <f>ROUND(TAN(RADIANS(CSV_Import!U79))*((Auswertung!$C$7/2)*100-Auswertung!$C$8),3)</f>
        <v>0</v>
      </c>
      <c r="F81">
        <f>ROUND(TAN(RADIANS(CSV_Import!B79))*((Auswertung!$C$7/2)*100-Auswertung!$C$8),3)</f>
        <v>0</v>
      </c>
      <c r="G81">
        <f>ROUND(TAN(RADIANS(CSV_Import!S79))*((Auswertung!$C$7/2)*100-Auswertung!$C$8),3)</f>
        <v>0</v>
      </c>
      <c r="H81">
        <f>ROUND(TAN(RADIANS(CSV_Import!E79))*((Auswertung!$C$7/2)*100-Auswertung!$C$8),3)</f>
        <v>0</v>
      </c>
      <c r="I81">
        <f>ROUND(TAN(RADIANS(CSV_Import!V79))*((Auswertung!$C$7/2)*100-Auswertung!$C$8),3)</f>
        <v>0</v>
      </c>
      <c r="K81">
        <f>(CSV_Import!$N$2-CSV_Import!N79)</f>
        <v>0</v>
      </c>
      <c r="L81">
        <f>(CSV_Import!$AE$2-CSV_Import!AE79)</f>
        <v>0</v>
      </c>
    </row>
    <row r="82" spans="2:12" x14ac:dyDescent="0.25">
      <c r="B82">
        <f>(CSV_Import!G80-CSV_Import!$G$2)/1000</f>
        <v>0</v>
      </c>
      <c r="D82">
        <f>ROUND(TAN(RADIANS(CSV_Import!D80))*((Auswertung!$C$7*100)/2-Auswertung!$C$8),3)</f>
        <v>0</v>
      </c>
      <c r="E82">
        <f>ROUND(TAN(RADIANS(CSV_Import!U80))*((Auswertung!$C$7/2)*100-Auswertung!$C$8),3)</f>
        <v>0</v>
      </c>
      <c r="F82">
        <f>ROUND(TAN(RADIANS(CSV_Import!B80))*((Auswertung!$C$7/2)*100-Auswertung!$C$8),3)</f>
        <v>0</v>
      </c>
      <c r="G82">
        <f>ROUND(TAN(RADIANS(CSV_Import!S80))*((Auswertung!$C$7/2)*100-Auswertung!$C$8),3)</f>
        <v>0</v>
      </c>
      <c r="H82">
        <f>ROUND(TAN(RADIANS(CSV_Import!E80))*((Auswertung!$C$7/2)*100-Auswertung!$C$8),3)</f>
        <v>0</v>
      </c>
      <c r="I82">
        <f>ROUND(TAN(RADIANS(CSV_Import!V80))*((Auswertung!$C$7/2)*100-Auswertung!$C$8),3)</f>
        <v>0</v>
      </c>
      <c r="K82">
        <f>(CSV_Import!$N$2-CSV_Import!N80)</f>
        <v>0</v>
      </c>
      <c r="L82">
        <f>(CSV_Import!$AE$2-CSV_Import!AE80)</f>
        <v>0</v>
      </c>
    </row>
    <row r="83" spans="2:12" x14ac:dyDescent="0.25">
      <c r="B83">
        <f>(CSV_Import!G81-CSV_Import!$G$2)/1000</f>
        <v>0</v>
      </c>
      <c r="D83">
        <f>ROUND(TAN(RADIANS(CSV_Import!D81))*((Auswertung!$C$7*100)/2-Auswertung!$C$8),3)</f>
        <v>0</v>
      </c>
      <c r="E83">
        <f>ROUND(TAN(RADIANS(CSV_Import!U81))*((Auswertung!$C$7/2)*100-Auswertung!$C$8),3)</f>
        <v>0</v>
      </c>
      <c r="F83">
        <f>ROUND(TAN(RADIANS(CSV_Import!B81))*((Auswertung!$C$7/2)*100-Auswertung!$C$8),3)</f>
        <v>0</v>
      </c>
      <c r="G83">
        <f>ROUND(TAN(RADIANS(CSV_Import!S81))*((Auswertung!$C$7/2)*100-Auswertung!$C$8),3)</f>
        <v>0</v>
      </c>
      <c r="H83">
        <f>ROUND(TAN(RADIANS(CSV_Import!E81))*((Auswertung!$C$7/2)*100-Auswertung!$C$8),3)</f>
        <v>0</v>
      </c>
      <c r="I83">
        <f>ROUND(TAN(RADIANS(CSV_Import!V81))*((Auswertung!$C$7/2)*100-Auswertung!$C$8),3)</f>
        <v>0</v>
      </c>
      <c r="K83">
        <f>(CSV_Import!$N$2-CSV_Import!N81)</f>
        <v>0</v>
      </c>
      <c r="L83">
        <f>(CSV_Import!$AE$2-CSV_Import!AE81)</f>
        <v>0</v>
      </c>
    </row>
    <row r="84" spans="2:12" x14ac:dyDescent="0.25">
      <c r="B84">
        <f>(CSV_Import!G82-CSV_Import!$G$2)/1000</f>
        <v>0</v>
      </c>
      <c r="D84">
        <f>ROUND(TAN(RADIANS(CSV_Import!D82))*((Auswertung!$C$7*100)/2-Auswertung!$C$8),3)</f>
        <v>0</v>
      </c>
      <c r="E84">
        <f>ROUND(TAN(RADIANS(CSV_Import!U82))*((Auswertung!$C$7/2)*100-Auswertung!$C$8),3)</f>
        <v>0</v>
      </c>
      <c r="F84">
        <f>ROUND(TAN(RADIANS(CSV_Import!B82))*((Auswertung!$C$7/2)*100-Auswertung!$C$8),3)</f>
        <v>0</v>
      </c>
      <c r="G84">
        <f>ROUND(TAN(RADIANS(CSV_Import!S82))*((Auswertung!$C$7/2)*100-Auswertung!$C$8),3)</f>
        <v>0</v>
      </c>
      <c r="H84">
        <f>ROUND(TAN(RADIANS(CSV_Import!E82))*((Auswertung!$C$7/2)*100-Auswertung!$C$8),3)</f>
        <v>0</v>
      </c>
      <c r="I84">
        <f>ROUND(TAN(RADIANS(CSV_Import!V82))*((Auswertung!$C$7/2)*100-Auswertung!$C$8),3)</f>
        <v>0</v>
      </c>
      <c r="K84">
        <f>(CSV_Import!$N$2-CSV_Import!N82)</f>
        <v>0</v>
      </c>
      <c r="L84">
        <f>(CSV_Import!$AE$2-CSV_Import!AE82)</f>
        <v>0</v>
      </c>
    </row>
    <row r="85" spans="2:12" x14ac:dyDescent="0.25">
      <c r="B85">
        <f>(CSV_Import!G83-CSV_Import!$G$2)/1000</f>
        <v>0</v>
      </c>
      <c r="D85">
        <f>ROUND(TAN(RADIANS(CSV_Import!D83))*((Auswertung!$C$7*100)/2-Auswertung!$C$8),3)</f>
        <v>0</v>
      </c>
      <c r="E85">
        <f>ROUND(TAN(RADIANS(CSV_Import!U83))*((Auswertung!$C$7/2)*100-Auswertung!$C$8),3)</f>
        <v>0</v>
      </c>
      <c r="F85">
        <f>ROUND(TAN(RADIANS(CSV_Import!B83))*((Auswertung!$C$7/2)*100-Auswertung!$C$8),3)</f>
        <v>0</v>
      </c>
      <c r="G85">
        <f>ROUND(TAN(RADIANS(CSV_Import!S83))*((Auswertung!$C$7/2)*100-Auswertung!$C$8),3)</f>
        <v>0</v>
      </c>
      <c r="H85">
        <f>ROUND(TAN(RADIANS(CSV_Import!E83))*((Auswertung!$C$7/2)*100-Auswertung!$C$8),3)</f>
        <v>0</v>
      </c>
      <c r="I85">
        <f>ROUND(TAN(RADIANS(CSV_Import!V83))*((Auswertung!$C$7/2)*100-Auswertung!$C$8),3)</f>
        <v>0</v>
      </c>
      <c r="K85">
        <f>(CSV_Import!$N$2-CSV_Import!N83)</f>
        <v>0</v>
      </c>
      <c r="L85">
        <f>(CSV_Import!$AE$2-CSV_Import!AE83)</f>
        <v>0</v>
      </c>
    </row>
    <row r="86" spans="2:12" x14ac:dyDescent="0.25">
      <c r="B86">
        <f>(CSV_Import!G84-CSV_Import!$G$2)/1000</f>
        <v>0</v>
      </c>
      <c r="D86">
        <f>ROUND(TAN(RADIANS(CSV_Import!D84))*((Auswertung!$C$7*100)/2-Auswertung!$C$8),3)</f>
        <v>0</v>
      </c>
      <c r="E86">
        <f>ROUND(TAN(RADIANS(CSV_Import!U84))*((Auswertung!$C$7/2)*100-Auswertung!$C$8),3)</f>
        <v>0</v>
      </c>
      <c r="F86">
        <f>ROUND(TAN(RADIANS(CSV_Import!B84))*((Auswertung!$C$7/2)*100-Auswertung!$C$8),3)</f>
        <v>0</v>
      </c>
      <c r="G86">
        <f>ROUND(TAN(RADIANS(CSV_Import!S84))*((Auswertung!$C$7/2)*100-Auswertung!$C$8),3)</f>
        <v>0</v>
      </c>
      <c r="H86">
        <f>ROUND(TAN(RADIANS(CSV_Import!E84))*((Auswertung!$C$7/2)*100-Auswertung!$C$8),3)</f>
        <v>0</v>
      </c>
      <c r="I86">
        <f>ROUND(TAN(RADIANS(CSV_Import!V84))*((Auswertung!$C$7/2)*100-Auswertung!$C$8),3)</f>
        <v>0</v>
      </c>
      <c r="K86">
        <f>(CSV_Import!$N$2-CSV_Import!N84)</f>
        <v>0</v>
      </c>
      <c r="L86">
        <f>(CSV_Import!$AE$2-CSV_Import!AE84)</f>
        <v>0</v>
      </c>
    </row>
    <row r="87" spans="2:12" x14ac:dyDescent="0.25">
      <c r="B87">
        <f>(CSV_Import!G85-CSV_Import!$G$2)/1000</f>
        <v>0</v>
      </c>
      <c r="D87">
        <f>ROUND(TAN(RADIANS(CSV_Import!D85))*((Auswertung!$C$7*100)/2-Auswertung!$C$8),3)</f>
        <v>0</v>
      </c>
      <c r="E87">
        <f>ROUND(TAN(RADIANS(CSV_Import!U85))*((Auswertung!$C$7/2)*100-Auswertung!$C$8),3)</f>
        <v>0</v>
      </c>
      <c r="F87">
        <f>ROUND(TAN(RADIANS(CSV_Import!B85))*((Auswertung!$C$7/2)*100-Auswertung!$C$8),3)</f>
        <v>0</v>
      </c>
      <c r="G87">
        <f>ROUND(TAN(RADIANS(CSV_Import!S85))*((Auswertung!$C$7/2)*100-Auswertung!$C$8),3)</f>
        <v>0</v>
      </c>
      <c r="H87">
        <f>ROUND(TAN(RADIANS(CSV_Import!E85))*((Auswertung!$C$7/2)*100-Auswertung!$C$8),3)</f>
        <v>0</v>
      </c>
      <c r="I87">
        <f>ROUND(TAN(RADIANS(CSV_Import!V85))*((Auswertung!$C$7/2)*100-Auswertung!$C$8),3)</f>
        <v>0</v>
      </c>
      <c r="K87">
        <f>(CSV_Import!$N$2-CSV_Import!N85)</f>
        <v>0</v>
      </c>
      <c r="L87">
        <f>(CSV_Import!$AE$2-CSV_Import!AE85)</f>
        <v>0</v>
      </c>
    </row>
    <row r="88" spans="2:12" x14ac:dyDescent="0.25">
      <c r="B88">
        <f>(CSV_Import!G86-CSV_Import!$G$2)/1000</f>
        <v>0</v>
      </c>
      <c r="D88">
        <f>ROUND(TAN(RADIANS(CSV_Import!D86))*((Auswertung!$C$7*100)/2-Auswertung!$C$8),3)</f>
        <v>0</v>
      </c>
      <c r="E88">
        <f>ROUND(TAN(RADIANS(CSV_Import!U86))*((Auswertung!$C$7/2)*100-Auswertung!$C$8),3)</f>
        <v>0</v>
      </c>
      <c r="F88">
        <f>ROUND(TAN(RADIANS(CSV_Import!B86))*((Auswertung!$C$7/2)*100-Auswertung!$C$8),3)</f>
        <v>0</v>
      </c>
      <c r="G88">
        <f>ROUND(TAN(RADIANS(CSV_Import!S86))*((Auswertung!$C$7/2)*100-Auswertung!$C$8),3)</f>
        <v>0</v>
      </c>
      <c r="H88">
        <f>ROUND(TAN(RADIANS(CSV_Import!E86))*((Auswertung!$C$7/2)*100-Auswertung!$C$8),3)</f>
        <v>0</v>
      </c>
      <c r="I88">
        <f>ROUND(TAN(RADIANS(CSV_Import!V86))*((Auswertung!$C$7/2)*100-Auswertung!$C$8),3)</f>
        <v>0</v>
      </c>
      <c r="K88">
        <f>(CSV_Import!$N$2-CSV_Import!N86)</f>
        <v>0</v>
      </c>
      <c r="L88">
        <f>(CSV_Import!$AE$2-CSV_Import!AE86)</f>
        <v>0</v>
      </c>
    </row>
    <row r="89" spans="2:12" x14ac:dyDescent="0.25">
      <c r="B89">
        <f>(CSV_Import!G87-CSV_Import!$G$2)/1000</f>
        <v>0</v>
      </c>
      <c r="D89">
        <f>ROUND(TAN(RADIANS(CSV_Import!D87))*((Auswertung!$C$7*100)/2-Auswertung!$C$8),3)</f>
        <v>0</v>
      </c>
      <c r="E89">
        <f>ROUND(TAN(RADIANS(CSV_Import!U87))*((Auswertung!$C$7/2)*100-Auswertung!$C$8),3)</f>
        <v>0</v>
      </c>
      <c r="F89">
        <f>ROUND(TAN(RADIANS(CSV_Import!B87))*((Auswertung!$C$7/2)*100-Auswertung!$C$8),3)</f>
        <v>0</v>
      </c>
      <c r="G89">
        <f>ROUND(TAN(RADIANS(CSV_Import!S87))*((Auswertung!$C$7/2)*100-Auswertung!$C$8),3)</f>
        <v>0</v>
      </c>
      <c r="H89">
        <f>ROUND(TAN(RADIANS(CSV_Import!E87))*((Auswertung!$C$7/2)*100-Auswertung!$C$8),3)</f>
        <v>0</v>
      </c>
      <c r="I89">
        <f>ROUND(TAN(RADIANS(CSV_Import!V87))*((Auswertung!$C$7/2)*100-Auswertung!$C$8),3)</f>
        <v>0</v>
      </c>
      <c r="K89">
        <f>(CSV_Import!$N$2-CSV_Import!N87)</f>
        <v>0</v>
      </c>
      <c r="L89">
        <f>(CSV_Import!$AE$2-CSV_Import!AE87)</f>
        <v>0</v>
      </c>
    </row>
    <row r="90" spans="2:12" x14ac:dyDescent="0.25">
      <c r="B90">
        <f>(CSV_Import!G88-CSV_Import!$G$2)/1000</f>
        <v>0</v>
      </c>
      <c r="D90">
        <f>ROUND(TAN(RADIANS(CSV_Import!D88))*((Auswertung!$C$7*100)/2-Auswertung!$C$8),3)</f>
        <v>0</v>
      </c>
      <c r="E90">
        <f>ROUND(TAN(RADIANS(CSV_Import!U88))*((Auswertung!$C$7/2)*100-Auswertung!$C$8),3)</f>
        <v>0</v>
      </c>
      <c r="F90">
        <f>ROUND(TAN(RADIANS(CSV_Import!B88))*((Auswertung!$C$7/2)*100-Auswertung!$C$8),3)</f>
        <v>0</v>
      </c>
      <c r="G90">
        <f>ROUND(TAN(RADIANS(CSV_Import!S88))*((Auswertung!$C$7/2)*100-Auswertung!$C$8),3)</f>
        <v>0</v>
      </c>
      <c r="H90">
        <f>ROUND(TAN(RADIANS(CSV_Import!E88))*((Auswertung!$C$7/2)*100-Auswertung!$C$8),3)</f>
        <v>0</v>
      </c>
      <c r="I90">
        <f>ROUND(TAN(RADIANS(CSV_Import!V88))*((Auswertung!$C$7/2)*100-Auswertung!$C$8),3)</f>
        <v>0</v>
      </c>
      <c r="K90">
        <f>(CSV_Import!$N$2-CSV_Import!N88)</f>
        <v>0</v>
      </c>
      <c r="L90">
        <f>(CSV_Import!$AE$2-CSV_Import!AE88)</f>
        <v>0</v>
      </c>
    </row>
    <row r="91" spans="2:12" x14ac:dyDescent="0.25">
      <c r="B91">
        <f>(CSV_Import!G89-CSV_Import!$G$2)/1000</f>
        <v>0</v>
      </c>
      <c r="D91">
        <f>ROUND(TAN(RADIANS(CSV_Import!D89))*((Auswertung!$C$7*100)/2-Auswertung!$C$8),3)</f>
        <v>0</v>
      </c>
      <c r="E91">
        <f>ROUND(TAN(RADIANS(CSV_Import!U89))*((Auswertung!$C$7/2)*100-Auswertung!$C$8),3)</f>
        <v>0</v>
      </c>
      <c r="F91">
        <f>ROUND(TAN(RADIANS(CSV_Import!B89))*((Auswertung!$C$7/2)*100-Auswertung!$C$8),3)</f>
        <v>0</v>
      </c>
      <c r="G91">
        <f>ROUND(TAN(RADIANS(CSV_Import!S89))*((Auswertung!$C$7/2)*100-Auswertung!$C$8),3)</f>
        <v>0</v>
      </c>
      <c r="H91">
        <f>ROUND(TAN(RADIANS(CSV_Import!E89))*((Auswertung!$C$7/2)*100-Auswertung!$C$8),3)</f>
        <v>0</v>
      </c>
      <c r="I91">
        <f>ROUND(TAN(RADIANS(CSV_Import!V89))*((Auswertung!$C$7/2)*100-Auswertung!$C$8),3)</f>
        <v>0</v>
      </c>
      <c r="K91">
        <f>(CSV_Import!$N$2-CSV_Import!N89)</f>
        <v>0</v>
      </c>
      <c r="L91">
        <f>(CSV_Import!$AE$2-CSV_Import!AE89)</f>
        <v>0</v>
      </c>
    </row>
    <row r="92" spans="2:12" x14ac:dyDescent="0.25">
      <c r="B92">
        <f>(CSV_Import!G90-CSV_Import!$G$2)/1000</f>
        <v>0</v>
      </c>
      <c r="D92">
        <f>ROUND(TAN(RADIANS(CSV_Import!D90))*((Auswertung!$C$7*100)/2-Auswertung!$C$8),3)</f>
        <v>0</v>
      </c>
      <c r="E92">
        <f>ROUND(TAN(RADIANS(CSV_Import!U90))*((Auswertung!$C$7/2)*100-Auswertung!$C$8),3)</f>
        <v>0</v>
      </c>
      <c r="F92">
        <f>ROUND(TAN(RADIANS(CSV_Import!B90))*((Auswertung!$C$7/2)*100-Auswertung!$C$8),3)</f>
        <v>0</v>
      </c>
      <c r="G92">
        <f>ROUND(TAN(RADIANS(CSV_Import!S90))*((Auswertung!$C$7/2)*100-Auswertung!$C$8),3)</f>
        <v>0</v>
      </c>
      <c r="H92">
        <f>ROUND(TAN(RADIANS(CSV_Import!E90))*((Auswertung!$C$7/2)*100-Auswertung!$C$8),3)</f>
        <v>0</v>
      </c>
      <c r="I92">
        <f>ROUND(TAN(RADIANS(CSV_Import!V90))*((Auswertung!$C$7/2)*100-Auswertung!$C$8),3)</f>
        <v>0</v>
      </c>
      <c r="K92">
        <f>(CSV_Import!$N$2-CSV_Import!N90)</f>
        <v>0</v>
      </c>
      <c r="L92">
        <f>(CSV_Import!$AE$2-CSV_Import!AE90)</f>
        <v>0</v>
      </c>
    </row>
    <row r="93" spans="2:12" x14ac:dyDescent="0.25">
      <c r="B93">
        <f>(CSV_Import!G91-CSV_Import!$G$2)/1000</f>
        <v>0</v>
      </c>
      <c r="D93">
        <f>ROUND(TAN(RADIANS(CSV_Import!D91))*((Auswertung!$C$7*100)/2-Auswertung!$C$8),3)</f>
        <v>0</v>
      </c>
      <c r="E93">
        <f>ROUND(TAN(RADIANS(CSV_Import!U91))*((Auswertung!$C$7/2)*100-Auswertung!$C$8),3)</f>
        <v>0</v>
      </c>
      <c r="F93">
        <f>ROUND(TAN(RADIANS(CSV_Import!B91))*((Auswertung!$C$7/2)*100-Auswertung!$C$8),3)</f>
        <v>0</v>
      </c>
      <c r="G93">
        <f>ROUND(TAN(RADIANS(CSV_Import!S91))*((Auswertung!$C$7/2)*100-Auswertung!$C$8),3)</f>
        <v>0</v>
      </c>
      <c r="H93">
        <f>ROUND(TAN(RADIANS(CSV_Import!E91))*((Auswertung!$C$7/2)*100-Auswertung!$C$8),3)</f>
        <v>0</v>
      </c>
      <c r="I93">
        <f>ROUND(TAN(RADIANS(CSV_Import!V91))*((Auswertung!$C$7/2)*100-Auswertung!$C$8),3)</f>
        <v>0</v>
      </c>
      <c r="K93">
        <f>(CSV_Import!$N$2-CSV_Import!N91)</f>
        <v>0</v>
      </c>
      <c r="L93">
        <f>(CSV_Import!$AE$2-CSV_Import!AE91)</f>
        <v>0</v>
      </c>
    </row>
    <row r="94" spans="2:12" x14ac:dyDescent="0.25">
      <c r="B94">
        <f>(CSV_Import!G92-CSV_Import!$G$2)/1000</f>
        <v>0</v>
      </c>
      <c r="D94">
        <f>ROUND(TAN(RADIANS(CSV_Import!D92))*((Auswertung!$C$7*100)/2-Auswertung!$C$8),3)</f>
        <v>0</v>
      </c>
      <c r="E94">
        <f>ROUND(TAN(RADIANS(CSV_Import!U92))*((Auswertung!$C$7/2)*100-Auswertung!$C$8),3)</f>
        <v>0</v>
      </c>
      <c r="F94">
        <f>ROUND(TAN(RADIANS(CSV_Import!B92))*((Auswertung!$C$7/2)*100-Auswertung!$C$8),3)</f>
        <v>0</v>
      </c>
      <c r="G94">
        <f>ROUND(TAN(RADIANS(CSV_Import!S92))*((Auswertung!$C$7/2)*100-Auswertung!$C$8),3)</f>
        <v>0</v>
      </c>
      <c r="H94">
        <f>ROUND(TAN(RADIANS(CSV_Import!E92))*((Auswertung!$C$7/2)*100-Auswertung!$C$8),3)</f>
        <v>0</v>
      </c>
      <c r="I94">
        <f>ROUND(TAN(RADIANS(CSV_Import!V92))*((Auswertung!$C$7/2)*100-Auswertung!$C$8),3)</f>
        <v>0</v>
      </c>
      <c r="K94">
        <f>(CSV_Import!$N$2-CSV_Import!N92)</f>
        <v>0</v>
      </c>
      <c r="L94">
        <f>(CSV_Import!$AE$2-CSV_Import!AE92)</f>
        <v>0</v>
      </c>
    </row>
    <row r="95" spans="2:12" x14ac:dyDescent="0.25">
      <c r="B95">
        <f>(CSV_Import!G93-CSV_Import!$G$2)/1000</f>
        <v>0</v>
      </c>
      <c r="D95">
        <f>ROUND(TAN(RADIANS(CSV_Import!D93))*((Auswertung!$C$7*100)/2-Auswertung!$C$8),3)</f>
        <v>0</v>
      </c>
      <c r="E95">
        <f>ROUND(TAN(RADIANS(CSV_Import!U93))*((Auswertung!$C$7/2)*100-Auswertung!$C$8),3)</f>
        <v>0</v>
      </c>
      <c r="F95">
        <f>ROUND(TAN(RADIANS(CSV_Import!B93))*((Auswertung!$C$7/2)*100-Auswertung!$C$8),3)</f>
        <v>0</v>
      </c>
      <c r="G95">
        <f>ROUND(TAN(RADIANS(CSV_Import!S93))*((Auswertung!$C$7/2)*100-Auswertung!$C$8),3)</f>
        <v>0</v>
      </c>
      <c r="H95">
        <f>ROUND(TAN(RADIANS(CSV_Import!E93))*((Auswertung!$C$7/2)*100-Auswertung!$C$8),3)</f>
        <v>0</v>
      </c>
      <c r="I95">
        <f>ROUND(TAN(RADIANS(CSV_Import!V93))*((Auswertung!$C$7/2)*100-Auswertung!$C$8),3)</f>
        <v>0</v>
      </c>
      <c r="K95">
        <f>(CSV_Import!$N$2-CSV_Import!N93)</f>
        <v>0</v>
      </c>
      <c r="L95">
        <f>(CSV_Import!$AE$2-CSV_Import!AE93)</f>
        <v>0</v>
      </c>
    </row>
    <row r="96" spans="2:12" x14ac:dyDescent="0.25">
      <c r="B96">
        <f>(CSV_Import!G94-CSV_Import!$G$2)/1000</f>
        <v>0</v>
      </c>
      <c r="D96">
        <f>ROUND(TAN(RADIANS(CSV_Import!D94))*((Auswertung!$C$7*100)/2-Auswertung!$C$8),3)</f>
        <v>0</v>
      </c>
      <c r="E96">
        <f>ROUND(TAN(RADIANS(CSV_Import!U94))*((Auswertung!$C$7/2)*100-Auswertung!$C$8),3)</f>
        <v>0</v>
      </c>
      <c r="F96">
        <f>ROUND(TAN(RADIANS(CSV_Import!B94))*((Auswertung!$C$7/2)*100-Auswertung!$C$8),3)</f>
        <v>0</v>
      </c>
      <c r="G96">
        <f>ROUND(TAN(RADIANS(CSV_Import!S94))*((Auswertung!$C$7/2)*100-Auswertung!$C$8),3)</f>
        <v>0</v>
      </c>
      <c r="H96">
        <f>ROUND(TAN(RADIANS(CSV_Import!E94))*((Auswertung!$C$7/2)*100-Auswertung!$C$8),3)</f>
        <v>0</v>
      </c>
      <c r="I96">
        <f>ROUND(TAN(RADIANS(CSV_Import!V94))*((Auswertung!$C$7/2)*100-Auswertung!$C$8),3)</f>
        <v>0</v>
      </c>
      <c r="K96">
        <f>(CSV_Import!$N$2-CSV_Import!N94)</f>
        <v>0</v>
      </c>
      <c r="L96">
        <f>(CSV_Import!$AE$2-CSV_Import!AE94)</f>
        <v>0</v>
      </c>
    </row>
    <row r="97" spans="2:12" x14ac:dyDescent="0.25">
      <c r="B97">
        <f>(CSV_Import!G95-CSV_Import!$G$2)/1000</f>
        <v>0</v>
      </c>
      <c r="D97">
        <f>ROUND(TAN(RADIANS(CSV_Import!D95))*((Auswertung!$C$7*100)/2-Auswertung!$C$8),3)</f>
        <v>0</v>
      </c>
      <c r="E97">
        <f>ROUND(TAN(RADIANS(CSV_Import!U95))*((Auswertung!$C$7/2)*100-Auswertung!$C$8),3)</f>
        <v>0</v>
      </c>
      <c r="F97">
        <f>ROUND(TAN(RADIANS(CSV_Import!B95))*((Auswertung!$C$7/2)*100-Auswertung!$C$8),3)</f>
        <v>0</v>
      </c>
      <c r="G97">
        <f>ROUND(TAN(RADIANS(CSV_Import!S95))*((Auswertung!$C$7/2)*100-Auswertung!$C$8),3)</f>
        <v>0</v>
      </c>
      <c r="H97">
        <f>ROUND(TAN(RADIANS(CSV_Import!E95))*((Auswertung!$C$7/2)*100-Auswertung!$C$8),3)</f>
        <v>0</v>
      </c>
      <c r="I97">
        <f>ROUND(TAN(RADIANS(CSV_Import!V95))*((Auswertung!$C$7/2)*100-Auswertung!$C$8),3)</f>
        <v>0</v>
      </c>
      <c r="K97">
        <f>(CSV_Import!$N$2-CSV_Import!N95)</f>
        <v>0</v>
      </c>
      <c r="L97">
        <f>(CSV_Import!$AE$2-CSV_Import!AE95)</f>
        <v>0</v>
      </c>
    </row>
    <row r="98" spans="2:12" x14ac:dyDescent="0.25">
      <c r="B98">
        <f>(CSV_Import!G96-CSV_Import!$G$2)/1000</f>
        <v>0</v>
      </c>
      <c r="D98">
        <f>ROUND(TAN(RADIANS(CSV_Import!D96))*((Auswertung!$C$7*100)/2-Auswertung!$C$8),3)</f>
        <v>0</v>
      </c>
      <c r="E98">
        <f>ROUND(TAN(RADIANS(CSV_Import!U96))*((Auswertung!$C$7/2)*100-Auswertung!$C$8),3)</f>
        <v>0</v>
      </c>
      <c r="F98">
        <f>ROUND(TAN(RADIANS(CSV_Import!B96))*((Auswertung!$C$7/2)*100-Auswertung!$C$8),3)</f>
        <v>0</v>
      </c>
      <c r="G98">
        <f>ROUND(TAN(RADIANS(CSV_Import!S96))*((Auswertung!$C$7/2)*100-Auswertung!$C$8),3)</f>
        <v>0</v>
      </c>
      <c r="H98">
        <f>ROUND(TAN(RADIANS(CSV_Import!E96))*((Auswertung!$C$7/2)*100-Auswertung!$C$8),3)</f>
        <v>0</v>
      </c>
      <c r="I98">
        <f>ROUND(TAN(RADIANS(CSV_Import!V96))*((Auswertung!$C$7/2)*100-Auswertung!$C$8),3)</f>
        <v>0</v>
      </c>
      <c r="K98">
        <f>(CSV_Import!$N$2-CSV_Import!N96)</f>
        <v>0</v>
      </c>
      <c r="L98">
        <f>(CSV_Import!$AE$2-CSV_Import!AE96)</f>
        <v>0</v>
      </c>
    </row>
    <row r="99" spans="2:12" x14ac:dyDescent="0.25">
      <c r="B99">
        <f>(CSV_Import!G97-CSV_Import!$G$2)/1000</f>
        <v>0</v>
      </c>
      <c r="D99">
        <f>ROUND(TAN(RADIANS(CSV_Import!D97))*((Auswertung!$C$7*100)/2-Auswertung!$C$8),3)</f>
        <v>0</v>
      </c>
      <c r="E99">
        <f>ROUND(TAN(RADIANS(CSV_Import!U97))*((Auswertung!$C$7/2)*100-Auswertung!$C$8),3)</f>
        <v>0</v>
      </c>
      <c r="F99">
        <f>ROUND(TAN(RADIANS(CSV_Import!B97))*((Auswertung!$C$7/2)*100-Auswertung!$C$8),3)</f>
        <v>0</v>
      </c>
      <c r="G99">
        <f>ROUND(TAN(RADIANS(CSV_Import!S97))*((Auswertung!$C$7/2)*100-Auswertung!$C$8),3)</f>
        <v>0</v>
      </c>
      <c r="H99">
        <f>ROUND(TAN(RADIANS(CSV_Import!E97))*((Auswertung!$C$7/2)*100-Auswertung!$C$8),3)</f>
        <v>0</v>
      </c>
      <c r="I99">
        <f>ROUND(TAN(RADIANS(CSV_Import!V97))*((Auswertung!$C$7/2)*100-Auswertung!$C$8),3)</f>
        <v>0</v>
      </c>
      <c r="K99">
        <f>(CSV_Import!$N$2-CSV_Import!N97)</f>
        <v>0</v>
      </c>
      <c r="L99">
        <f>(CSV_Import!$AE$2-CSV_Import!AE97)</f>
        <v>0</v>
      </c>
    </row>
    <row r="100" spans="2:12" x14ac:dyDescent="0.25">
      <c r="B100">
        <f>(CSV_Import!G98-CSV_Import!$G$2)/1000</f>
        <v>0</v>
      </c>
      <c r="D100">
        <f>ROUND(TAN(RADIANS(CSV_Import!D98))*((Auswertung!$C$7*100)/2-Auswertung!$C$8),3)</f>
        <v>0</v>
      </c>
      <c r="E100">
        <f>ROUND(TAN(RADIANS(CSV_Import!U98))*((Auswertung!$C$7/2)*100-Auswertung!$C$8),3)</f>
        <v>0</v>
      </c>
      <c r="F100">
        <f>ROUND(TAN(RADIANS(CSV_Import!B98))*((Auswertung!$C$7/2)*100-Auswertung!$C$8),3)</f>
        <v>0</v>
      </c>
      <c r="G100">
        <f>ROUND(TAN(RADIANS(CSV_Import!S98))*((Auswertung!$C$7/2)*100-Auswertung!$C$8),3)</f>
        <v>0</v>
      </c>
      <c r="H100">
        <f>ROUND(TAN(RADIANS(CSV_Import!E98))*((Auswertung!$C$7/2)*100-Auswertung!$C$8),3)</f>
        <v>0</v>
      </c>
      <c r="I100">
        <f>ROUND(TAN(RADIANS(CSV_Import!V98))*((Auswertung!$C$7/2)*100-Auswertung!$C$8),3)</f>
        <v>0</v>
      </c>
      <c r="K100">
        <f>(CSV_Import!$N$2-CSV_Import!N98)</f>
        <v>0</v>
      </c>
      <c r="L100">
        <f>(CSV_Import!$AE$2-CSV_Import!AE98)</f>
        <v>0</v>
      </c>
    </row>
    <row r="101" spans="2:12" x14ac:dyDescent="0.25">
      <c r="B101">
        <f>(CSV_Import!G99-CSV_Import!$G$2)/1000</f>
        <v>0</v>
      </c>
      <c r="D101">
        <f>ROUND(TAN(RADIANS(CSV_Import!D99))*((Auswertung!$C$7*100)/2-Auswertung!$C$8),3)</f>
        <v>0</v>
      </c>
      <c r="E101">
        <f>ROUND(TAN(RADIANS(CSV_Import!U99))*((Auswertung!$C$7/2)*100-Auswertung!$C$8),3)</f>
        <v>0</v>
      </c>
      <c r="F101">
        <f>ROUND(TAN(RADIANS(CSV_Import!B99))*((Auswertung!$C$7/2)*100-Auswertung!$C$8),3)</f>
        <v>0</v>
      </c>
      <c r="G101">
        <f>ROUND(TAN(RADIANS(CSV_Import!S99))*((Auswertung!$C$7/2)*100-Auswertung!$C$8),3)</f>
        <v>0</v>
      </c>
      <c r="H101">
        <f>ROUND(TAN(RADIANS(CSV_Import!E99))*((Auswertung!$C$7/2)*100-Auswertung!$C$8),3)</f>
        <v>0</v>
      </c>
      <c r="I101">
        <f>ROUND(TAN(RADIANS(CSV_Import!V99))*((Auswertung!$C$7/2)*100-Auswertung!$C$8),3)</f>
        <v>0</v>
      </c>
      <c r="K101">
        <f>(CSV_Import!$N$2-CSV_Import!N99)</f>
        <v>0</v>
      </c>
      <c r="L101">
        <f>(CSV_Import!$AE$2-CSV_Import!AE99)</f>
        <v>0</v>
      </c>
    </row>
    <row r="102" spans="2:12" x14ac:dyDescent="0.25">
      <c r="B102">
        <f>(CSV_Import!G100-CSV_Import!$G$2)/1000</f>
        <v>0</v>
      </c>
      <c r="D102">
        <f>ROUND(TAN(RADIANS(CSV_Import!D100))*((Auswertung!$C$7*100)/2-Auswertung!$C$8),3)</f>
        <v>0</v>
      </c>
      <c r="E102">
        <f>ROUND(TAN(RADIANS(CSV_Import!U100))*((Auswertung!$C$7/2)*100-Auswertung!$C$8),3)</f>
        <v>0</v>
      </c>
      <c r="F102">
        <f>ROUND(TAN(RADIANS(CSV_Import!B100))*((Auswertung!$C$7/2)*100-Auswertung!$C$8),3)</f>
        <v>0</v>
      </c>
      <c r="G102">
        <f>ROUND(TAN(RADIANS(CSV_Import!S100))*((Auswertung!$C$7/2)*100-Auswertung!$C$8),3)</f>
        <v>0</v>
      </c>
      <c r="H102">
        <f>ROUND(TAN(RADIANS(CSV_Import!E100))*((Auswertung!$C$7/2)*100-Auswertung!$C$8),3)</f>
        <v>0</v>
      </c>
      <c r="I102">
        <f>ROUND(TAN(RADIANS(CSV_Import!V100))*((Auswertung!$C$7/2)*100-Auswertung!$C$8),3)</f>
        <v>0</v>
      </c>
      <c r="K102">
        <f>(CSV_Import!$N$2-CSV_Import!N100)</f>
        <v>0</v>
      </c>
      <c r="L102">
        <f>(CSV_Import!$AE$2-CSV_Import!AE100)</f>
        <v>0</v>
      </c>
    </row>
    <row r="103" spans="2:12" x14ac:dyDescent="0.25">
      <c r="B103">
        <f>(CSV_Import!G101-CSV_Import!$G$2)/1000</f>
        <v>0</v>
      </c>
      <c r="D103">
        <f>ROUND(TAN(RADIANS(CSV_Import!D101))*((Auswertung!$C$7*100)/2-Auswertung!$C$8),3)</f>
        <v>0</v>
      </c>
      <c r="E103">
        <f>ROUND(TAN(RADIANS(CSV_Import!U101))*((Auswertung!$C$7/2)*100-Auswertung!$C$8),3)</f>
        <v>0</v>
      </c>
      <c r="F103">
        <f>ROUND(TAN(RADIANS(CSV_Import!B101))*((Auswertung!$C$7/2)*100-Auswertung!$C$8),3)</f>
        <v>0</v>
      </c>
      <c r="G103">
        <f>ROUND(TAN(RADIANS(CSV_Import!S101))*((Auswertung!$C$7/2)*100-Auswertung!$C$8),3)</f>
        <v>0</v>
      </c>
      <c r="H103">
        <f>ROUND(TAN(RADIANS(CSV_Import!E101))*((Auswertung!$C$7/2)*100-Auswertung!$C$8),3)</f>
        <v>0</v>
      </c>
      <c r="I103">
        <f>ROUND(TAN(RADIANS(CSV_Import!V101))*((Auswertung!$C$7/2)*100-Auswertung!$C$8),3)</f>
        <v>0</v>
      </c>
      <c r="K103">
        <f>(CSV_Import!$N$2-CSV_Import!N101)</f>
        <v>0</v>
      </c>
      <c r="L103">
        <f>(CSV_Import!$AE$2-CSV_Import!AE101)</f>
        <v>0</v>
      </c>
    </row>
    <row r="104" spans="2:12" x14ac:dyDescent="0.25">
      <c r="B104">
        <f>(CSV_Import!G102-CSV_Import!$G$2)/1000</f>
        <v>0</v>
      </c>
      <c r="D104">
        <f>ROUND(TAN(RADIANS(CSV_Import!D102))*((Auswertung!$C$7*100)/2-Auswertung!$C$8),3)</f>
        <v>0</v>
      </c>
      <c r="E104">
        <f>ROUND(TAN(RADIANS(CSV_Import!U102))*((Auswertung!$C$7/2)*100-Auswertung!$C$8),3)</f>
        <v>0</v>
      </c>
      <c r="F104">
        <f>ROUND(TAN(RADIANS(CSV_Import!B102))*((Auswertung!$C$7/2)*100-Auswertung!$C$8),3)</f>
        <v>0</v>
      </c>
      <c r="G104">
        <f>ROUND(TAN(RADIANS(CSV_Import!S102))*((Auswertung!$C$7/2)*100-Auswertung!$C$8),3)</f>
        <v>0</v>
      </c>
      <c r="H104">
        <f>ROUND(TAN(RADIANS(CSV_Import!E102))*((Auswertung!$C$7/2)*100-Auswertung!$C$8),3)</f>
        <v>0</v>
      </c>
      <c r="I104">
        <f>ROUND(TAN(RADIANS(CSV_Import!V102))*((Auswertung!$C$7/2)*100-Auswertung!$C$8),3)</f>
        <v>0</v>
      </c>
      <c r="K104">
        <f>(CSV_Import!$N$2-CSV_Import!N102)</f>
        <v>0</v>
      </c>
      <c r="L104">
        <f>(CSV_Import!$AE$2-CSV_Import!AE102)</f>
        <v>0</v>
      </c>
    </row>
  </sheetData>
  <mergeCells count="2">
    <mergeCell ref="K2:L2"/>
    <mergeCell ref="D2:I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Auswertung</vt:lpstr>
      <vt:lpstr>CSV_Import</vt:lpstr>
      <vt:lpstr>Kalkulationen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Falk-Jakob Weigand</dc:creator>
  <cp:lastModifiedBy>Falk-Jakob Weigand</cp:lastModifiedBy>
  <cp:lastPrinted>2025-07-09T13:23:37Z</cp:lastPrinted>
  <dcterms:created xsi:type="dcterms:W3CDTF">2025-05-31T12:55:03Z</dcterms:created>
  <dcterms:modified xsi:type="dcterms:W3CDTF">2025-07-16T11:19:59Z</dcterms:modified>
</cp:coreProperties>
</file>